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①はじめに" sheetId="1" state="visible" r:id="rId1"/>
    <sheet xmlns:r="http://schemas.openxmlformats.org/officeDocument/2006/relationships" name="②準備チェック" sheetId="2" state="visible" r:id="rId2"/>
    <sheet xmlns:r="http://schemas.openxmlformats.org/officeDocument/2006/relationships" name="③実施記録" sheetId="3" state="visible" r:id="rId3"/>
    <sheet xmlns:r="http://schemas.openxmlformats.org/officeDocument/2006/relationships" name="③実施記録_旧" sheetId="4" state="visible" r:id="rId4"/>
    <sheet xmlns:r="http://schemas.openxmlformats.org/officeDocument/2006/relationships" name="④回収ファイル一覧" sheetId="5" state="visible" r:id="rId5"/>
    <sheet xmlns:r="http://schemas.openxmlformats.org/officeDocument/2006/relationships" name="⑤サマリ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"/>
  </numFmts>
  <fonts count="15">
    <font>
      <name val="Calibri"/>
      <color theme="1"/>
      <sz val="11"/>
      <scheme val="minor"/>
    </font>
    <font>
      <name val="Noto Sans"/>
      <b val="1"/>
      <color theme="1"/>
      <sz val="16"/>
    </font>
    <font>
      <name val="Noto Sans"/>
      <color theme="1"/>
      <sz val="11"/>
    </font>
    <font>
      <name val="Noto Sans"/>
      <b val="1"/>
      <color theme="1"/>
      <sz val="12"/>
    </font>
    <font>
      <name val="Noto Sans"/>
      <b val="1"/>
      <color rgb="FFFFFFFF"/>
      <sz val="11"/>
    </font>
    <font>
      <name val="Yu Gothic"/>
      <b val="1"/>
      <color rgb="FFFFFFFF"/>
      <sz val="11"/>
    </font>
    <font>
      <name val="Calibri"/>
      <color theme="1"/>
      <sz val="11"/>
    </font>
    <font>
      <name val="Noto Sans"/>
      <i val="1"/>
      <color rgb="FF555555"/>
      <sz val="10"/>
    </font>
    <font>
      <name val="Calibri"/>
      <color theme="1"/>
      <scheme val="minor"/>
    </font>
    <font>
      <name val="Yu Gothic"/>
      <color theme="1"/>
      <sz val="11"/>
    </font>
    <font>
      <name val="Quattrocento Sans"/>
      <color theme="1"/>
      <sz val="11"/>
    </font>
    <font>
      <name val="MS PGothic"/>
      <color theme="1"/>
      <sz val="11"/>
    </font>
    <font>
      <name val="ＭＳ ゴシック"/>
      <color theme="1"/>
      <sz val="11"/>
    </font>
    <font>
      <name val="Noto Sans"/>
      <i val="1"/>
      <color rgb="FF808080"/>
      <sz val="10"/>
    </font>
    <font/>
  </fonts>
  <fills count="7">
    <fill>
      <patternFill/>
    </fill>
    <fill>
      <patternFill patternType="lightGray"/>
    </fill>
    <fill>
      <patternFill patternType="solid">
        <fgColor rgb="FF2F5B7C"/>
        <bgColor rgb="FF2F5B7C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DCE6F1"/>
      </patternFill>
    </fill>
    <fill>
      <patternFill patternType="solid">
        <fgColor rgb="FFFDE9D9"/>
        <bgColor rgb="FFFDE9D9"/>
      </patternFill>
    </fill>
    <fill>
      <patternFill patternType="solid">
        <fgColor rgb="FFEDEDED"/>
        <bgColor rgb="FFEDEDED"/>
      </patternFill>
    </fill>
  </fills>
  <borders count="1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2" pivotButton="0" quotePrefix="0" xfId="0"/>
    <xf numFmtId="0" fontId="2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13" fillId="0" borderId="0" pivotButton="0" quotePrefix="0" xfId="0"/>
    <xf numFmtId="0" fontId="4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4" fillId="0" borderId="5" pivotButton="0" quotePrefix="0" xfId="0"/>
    <xf numFmtId="0" fontId="14" fillId="0" borderId="6" pivotButton="0" quotePrefix="0" xfId="0"/>
    <xf numFmtId="0" fontId="14" fillId="0" borderId="7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.57" customWidth="1" style="41" min="1" max="1"/>
    <col width="16" customWidth="1" style="41" min="2" max="2"/>
    <col width="28" customWidth="1" style="41" min="3" max="3"/>
    <col width="7.86" customWidth="1" style="41" min="4" max="26"/>
  </cols>
  <sheetData>
    <row r="1" ht="14.25" customHeight="1" s="41"/>
    <row r="2" ht="19.5" customHeight="1" s="41">
      <c r="B2" s="1" t="inlineStr">
        <is>
          <t>チェックリスト — 「思い出カメラ」反応テスト</t>
        </is>
      </c>
    </row>
    <row r="3" ht="14.25" customHeight="1" s="41"/>
    <row r="4" ht="17.25" customHeight="1" s="41">
      <c r="B4" s="2" t="inlineStr">
        <is>
          <t>・このファイルはテストの記録用です。オペレーターが記入します。</t>
        </is>
      </c>
    </row>
    <row r="5" ht="17.25" customHeight="1" s="41">
      <c r="B5" s="2" t="inlineStr">
        <is>
          <t>・記入するのはシート②〜④だけ。⑤は自動集計なので見るだけです。</t>
        </is>
      </c>
    </row>
    <row r="6" ht="17.25" customHeight="1" s="41">
      <c r="B6" s="2" t="inlineStr">
        <is>
          <t>・記入例（グレーの行）を参考にしてください。</t>
        </is>
      </c>
    </row>
    <row r="7" ht="14.25" customHeight="1" s="41"/>
    <row r="8" ht="15" customHeight="1" s="41">
      <c r="B8" s="3" t="inlineStr">
        <is>
          <t>組み合わせ（ペアリング）表</t>
        </is>
      </c>
    </row>
    <row r="9" ht="17.25" customHeight="1" s="41">
      <c r="B9" s="4" t="inlineStr">
        <is>
          <t>Day2（セッション1）: 高齢者役＝テスターA／家族役＝テスターB</t>
        </is>
      </c>
      <c r="C9" s="5" t="n"/>
    </row>
    <row r="10" ht="17.25" customHeight="1" s="41">
      <c r="B10" s="4" t="inlineStr">
        <is>
          <t>Day3（セッション2）: 高齢者役＝テスターB／家族役＝テスターC</t>
        </is>
      </c>
      <c r="C10" s="5" t="n"/>
    </row>
    <row r="11" ht="17.25" customHeight="1" s="41">
      <c r="B11" s="4" t="inlineStr">
        <is>
          <t>Day4（セッション3）: 高齢者役＝テスターC／家族役＝テスターA</t>
        </is>
      </c>
      <c r="C11" s="5" t="n"/>
    </row>
    <row r="12" ht="14.25" customHeight="1" s="41"/>
    <row r="13" ht="14.25" customHeight="1" s="41"/>
    <row r="14" ht="14.25" customHeight="1" s="41"/>
    <row r="15" ht="14.25" customHeight="1" s="41"/>
    <row r="16" ht="14.25" customHeight="1" s="41"/>
    <row r="17" ht="14.25" customHeight="1" s="41"/>
    <row r="18" ht="14.25" customHeight="1" s="41"/>
    <row r="19" ht="14.25" customHeight="1" s="41"/>
    <row r="20" ht="14.25" customHeight="1" s="41"/>
    <row r="21" ht="14.25" customHeight="1" s="41"/>
    <row r="22" ht="14.25" customHeight="1" s="41"/>
    <row r="23" ht="14.25" customHeight="1" s="41"/>
    <row r="24" ht="14.25" customHeight="1" s="41"/>
    <row r="25" ht="14.25" customHeight="1" s="41"/>
    <row r="26" ht="14.25" customHeight="1" s="41"/>
    <row r="27" ht="14.25" customHeight="1" s="41"/>
    <row r="28" ht="14.25" customHeight="1" s="41"/>
    <row r="29" ht="14.25" customHeight="1" s="41"/>
    <row r="30" ht="14.25" customHeight="1" s="41"/>
    <row r="31" ht="14.25" customHeight="1" s="41"/>
    <row r="32" ht="14.25" customHeight="1" s="41"/>
    <row r="33" ht="14.25" customHeight="1" s="41"/>
    <row r="34" ht="14.25" customHeight="1" s="41"/>
    <row r="35" ht="14.25" customHeight="1" s="41"/>
    <row r="36" ht="14.25" customHeight="1" s="41"/>
    <row r="37" ht="14.25" customHeight="1" s="41"/>
    <row r="38" ht="14.25" customHeight="1" s="41"/>
    <row r="39" ht="14.25" customHeight="1" s="41"/>
    <row r="40" ht="14.25" customHeight="1" s="41"/>
    <row r="41" ht="14.25" customHeight="1" s="41"/>
    <row r="42" ht="14.25" customHeight="1" s="41"/>
    <row r="43" ht="14.25" customHeight="1" s="41"/>
    <row r="44" ht="14.25" customHeight="1" s="41"/>
    <row r="45" ht="14.25" customHeight="1" s="41"/>
    <row r="46" ht="14.25" customHeight="1" s="41"/>
    <row r="47" ht="14.25" customHeight="1" s="41"/>
    <row r="48" ht="14.25" customHeight="1" s="41"/>
    <row r="49" ht="14.25" customHeight="1" s="41"/>
    <row r="50" ht="14.25" customHeight="1" s="41"/>
    <row r="51" ht="14.25" customHeight="1" s="41"/>
    <row r="52" ht="14.25" customHeight="1" s="41"/>
    <row r="53" ht="14.25" customHeight="1" s="41"/>
    <row r="54" ht="14.25" customHeight="1" s="41"/>
    <row r="55" ht="14.25" customHeight="1" s="41"/>
    <row r="56" ht="14.25" customHeight="1" s="41"/>
    <row r="57" ht="14.25" customHeight="1" s="41"/>
    <row r="58" ht="14.25" customHeight="1" s="41"/>
    <row r="59" ht="14.25" customHeight="1" s="41"/>
    <row r="60" ht="14.25" customHeight="1" s="41"/>
    <row r="61" ht="14.25" customHeight="1" s="41"/>
    <row r="62" ht="14.25" customHeight="1" s="41"/>
    <row r="63" ht="14.25" customHeight="1" s="41"/>
    <row r="64" ht="14.25" customHeight="1" s="41"/>
    <row r="65" ht="14.25" customHeight="1" s="41"/>
    <row r="66" ht="14.25" customHeight="1" s="41"/>
    <row r="67" ht="14.25" customHeight="1" s="41"/>
    <row r="68" ht="14.25" customHeight="1" s="41"/>
    <row r="69" ht="14.25" customHeight="1" s="41"/>
    <row r="70" ht="14.25" customHeight="1" s="41"/>
    <row r="71" ht="14.25" customHeight="1" s="41"/>
    <row r="72" ht="14.25" customHeight="1" s="41"/>
    <row r="73" ht="14.25" customHeight="1" s="41"/>
    <row r="74" ht="14.25" customHeight="1" s="41"/>
    <row r="75" ht="14.25" customHeight="1" s="41"/>
    <row r="76" ht="14.25" customHeight="1" s="41"/>
    <row r="77" ht="14.25" customHeight="1" s="41"/>
    <row r="78" ht="14.25" customHeight="1" s="41"/>
    <row r="79" ht="14.25" customHeight="1" s="41"/>
    <row r="80" ht="14.25" customHeight="1" s="41"/>
    <row r="81" ht="14.25" customHeight="1" s="41"/>
    <row r="82" ht="14.25" customHeight="1" s="41"/>
    <row r="83" ht="14.25" customHeight="1" s="41"/>
    <row r="84" ht="14.25" customHeight="1" s="41"/>
    <row r="85" ht="14.25" customHeight="1" s="41"/>
    <row r="86" ht="14.25" customHeight="1" s="41"/>
    <row r="87" ht="14.25" customHeight="1" s="41"/>
    <row r="88" ht="14.25" customHeight="1" s="41"/>
    <row r="89" ht="14.25" customHeight="1" s="41"/>
    <row r="90" ht="14.25" customHeight="1" s="41"/>
    <row r="91" ht="14.25" customHeight="1" s="41"/>
    <row r="92" ht="14.25" customHeight="1" s="41"/>
    <row r="93" ht="14.25" customHeight="1" s="41"/>
    <row r="94" ht="14.25" customHeight="1" s="41"/>
    <row r="95" ht="14.25" customHeight="1" s="41"/>
    <row r="96" ht="14.25" customHeight="1" s="41"/>
    <row r="97" ht="14.25" customHeight="1" s="41"/>
    <row r="98" ht="14.25" customHeight="1" s="41"/>
    <row r="99" ht="14.25" customHeight="1" s="41"/>
    <row r="100" ht="14.25" customHeight="1" s="41"/>
    <row r="101" ht="14.25" customHeight="1" s="41"/>
    <row r="102" ht="14.25" customHeight="1" s="41"/>
    <row r="103" ht="14.25" customHeight="1" s="41"/>
    <row r="104" ht="14.25" customHeight="1" s="41"/>
    <row r="105" ht="14.25" customHeight="1" s="41"/>
    <row r="106" ht="14.25" customHeight="1" s="41"/>
    <row r="107" ht="14.25" customHeight="1" s="41"/>
    <row r="108" ht="14.25" customHeight="1" s="41"/>
    <row r="109" ht="14.25" customHeight="1" s="41"/>
    <row r="110" ht="14.25" customHeight="1" s="41"/>
    <row r="111" ht="14.25" customHeight="1" s="41"/>
    <row r="112" ht="14.25" customHeight="1" s="41"/>
    <row r="113" ht="14.25" customHeight="1" s="41"/>
    <row r="114" ht="14.25" customHeight="1" s="41"/>
    <row r="115" ht="14.25" customHeight="1" s="41"/>
    <row r="116" ht="14.25" customHeight="1" s="41"/>
    <row r="117" ht="14.25" customHeight="1" s="41"/>
    <row r="118" ht="14.25" customHeight="1" s="41"/>
    <row r="119" ht="14.25" customHeight="1" s="41"/>
    <row r="120" ht="14.25" customHeight="1" s="41"/>
    <row r="121" ht="14.25" customHeight="1" s="41"/>
    <row r="122" ht="14.25" customHeight="1" s="41"/>
    <row r="123" ht="14.25" customHeight="1" s="41"/>
    <row r="124" ht="14.25" customHeight="1" s="41"/>
    <row r="125" ht="14.25" customHeight="1" s="41"/>
    <row r="126" ht="14.25" customHeight="1" s="41"/>
    <row r="127" ht="14.25" customHeight="1" s="41"/>
    <row r="128" ht="14.25" customHeight="1" s="41"/>
    <row r="129" ht="14.25" customHeight="1" s="41"/>
    <row r="130" ht="14.25" customHeight="1" s="41"/>
    <row r="131" ht="14.25" customHeight="1" s="41"/>
    <row r="132" ht="14.25" customHeight="1" s="41"/>
    <row r="133" ht="14.25" customHeight="1" s="41"/>
    <row r="134" ht="14.25" customHeight="1" s="41"/>
    <row r="135" ht="14.25" customHeight="1" s="41"/>
    <row r="136" ht="14.25" customHeight="1" s="41"/>
    <row r="137" ht="14.25" customHeight="1" s="41"/>
    <row r="138" ht="14.25" customHeight="1" s="41"/>
    <row r="139" ht="14.25" customHeight="1" s="41"/>
    <row r="140" ht="14.25" customHeight="1" s="41"/>
    <row r="141" ht="14.25" customHeight="1" s="41"/>
    <row r="142" ht="14.25" customHeight="1" s="41"/>
    <row r="143" ht="14.25" customHeight="1" s="41"/>
    <row r="144" ht="14.25" customHeight="1" s="41"/>
    <row r="145" ht="14.25" customHeight="1" s="41"/>
    <row r="146" ht="14.25" customHeight="1" s="41"/>
    <row r="147" ht="14.25" customHeight="1" s="41"/>
    <row r="148" ht="14.25" customHeight="1" s="41"/>
    <row r="149" ht="14.25" customHeight="1" s="41"/>
    <row r="150" ht="14.25" customHeight="1" s="41"/>
    <row r="151" ht="14.25" customHeight="1" s="41"/>
    <row r="152" ht="14.25" customHeight="1" s="41"/>
    <row r="153" ht="14.25" customHeight="1" s="41"/>
    <row r="154" ht="14.25" customHeight="1" s="41"/>
    <row r="155" ht="14.25" customHeight="1" s="41"/>
    <row r="156" ht="14.25" customHeight="1" s="41"/>
    <row r="157" ht="14.25" customHeight="1" s="41"/>
    <row r="158" ht="14.25" customHeight="1" s="41"/>
    <row r="159" ht="14.25" customHeight="1" s="41"/>
    <row r="160" ht="14.25" customHeight="1" s="41"/>
    <row r="161" ht="14.25" customHeight="1" s="41"/>
    <row r="162" ht="14.25" customHeight="1" s="41"/>
    <row r="163" ht="14.25" customHeight="1" s="41"/>
    <row r="164" ht="14.25" customHeight="1" s="41"/>
    <row r="165" ht="14.25" customHeight="1" s="41"/>
    <row r="166" ht="14.25" customHeight="1" s="41"/>
    <row r="167" ht="14.25" customHeight="1" s="41"/>
    <row r="168" ht="14.25" customHeight="1" s="41"/>
    <row r="169" ht="14.25" customHeight="1" s="41"/>
    <row r="170" ht="14.25" customHeight="1" s="41"/>
    <row r="171" ht="14.25" customHeight="1" s="41"/>
    <row r="172" ht="14.25" customHeight="1" s="41"/>
    <row r="173" ht="14.25" customHeight="1" s="41"/>
    <row r="174" ht="14.25" customHeight="1" s="41"/>
    <row r="175" ht="14.25" customHeight="1" s="41"/>
    <row r="176" ht="14.25" customHeight="1" s="41"/>
    <row r="177" ht="14.25" customHeight="1" s="41"/>
    <row r="178" ht="14.25" customHeight="1" s="41"/>
    <row r="179" ht="14.25" customHeight="1" s="41"/>
    <row r="180" ht="14.25" customHeight="1" s="41"/>
    <row r="181" ht="14.25" customHeight="1" s="41"/>
    <row r="182" ht="14.25" customHeight="1" s="41"/>
    <row r="183" ht="14.25" customHeight="1" s="41"/>
    <row r="184" ht="14.25" customHeight="1" s="41"/>
    <row r="185" ht="14.25" customHeight="1" s="41"/>
    <row r="186" ht="14.25" customHeight="1" s="41"/>
    <row r="187" ht="14.25" customHeight="1" s="41"/>
    <row r="188" ht="14.25" customHeight="1" s="41"/>
    <row r="189" ht="14.25" customHeight="1" s="41"/>
    <row r="190" ht="14.25" customHeight="1" s="41"/>
    <row r="191" ht="14.25" customHeight="1" s="41"/>
    <row r="192" ht="14.25" customHeight="1" s="41"/>
    <row r="193" ht="14.25" customHeight="1" s="41"/>
    <row r="194" ht="14.25" customHeight="1" s="41"/>
    <row r="195" ht="14.25" customHeight="1" s="41"/>
    <row r="196" ht="14.25" customHeight="1" s="41"/>
    <row r="197" ht="14.25" customHeight="1" s="41"/>
    <row r="198" ht="14.25" customHeight="1" s="41"/>
    <row r="199" ht="14.25" customHeight="1" s="41"/>
    <row r="200" ht="14.25" customHeight="1" s="41"/>
    <row r="201" ht="14.25" customHeight="1" s="41"/>
    <row r="202" ht="14.25" customHeight="1" s="41"/>
    <row r="203" ht="14.25" customHeight="1" s="41"/>
    <row r="204" ht="14.25" customHeight="1" s="41"/>
    <row r="205" ht="14.25" customHeight="1" s="41"/>
    <row r="206" ht="14.25" customHeight="1" s="41"/>
    <row r="207" ht="14.25" customHeight="1" s="41"/>
    <row r="208" ht="14.25" customHeight="1" s="41"/>
    <row r="209" ht="14.25" customHeight="1" s="41"/>
    <row r="210" ht="14.25" customHeight="1" s="41"/>
    <row r="211" ht="14.25" customHeight="1" s="41"/>
    <row r="212" ht="14.25" customHeight="1" s="41"/>
    <row r="213" ht="14.25" customHeight="1" s="41"/>
    <row r="214" ht="14.25" customHeight="1" s="41"/>
    <row r="215" ht="14.25" customHeight="1" s="41"/>
    <row r="216" ht="14.25" customHeight="1" s="41"/>
    <row r="217" ht="14.25" customHeight="1" s="41"/>
    <row r="218" ht="14.25" customHeight="1" s="41"/>
    <row r="219" ht="14.25" customHeight="1" s="41"/>
    <row r="220" ht="14.25" customHeight="1" s="41"/>
    <row r="221" ht="14.25" customHeight="1" s="41"/>
    <row r="222" ht="14.25" customHeight="1" s="41"/>
    <row r="223" ht="14.25" customHeight="1" s="41"/>
    <row r="224" ht="14.25" customHeight="1" s="41"/>
    <row r="225" ht="14.25" customHeight="1" s="41"/>
    <row r="226" ht="14.25" customHeight="1" s="41"/>
    <row r="227" ht="14.25" customHeight="1" s="41"/>
    <row r="228" ht="14.25" customHeight="1" s="41"/>
    <row r="229" ht="14.25" customHeight="1" s="41"/>
    <row r="230" ht="14.25" customHeight="1" s="41"/>
    <row r="231" ht="14.25" customHeight="1" s="41"/>
    <row r="232" ht="14.25" customHeight="1" s="41"/>
    <row r="233" ht="14.25" customHeight="1" s="41"/>
    <row r="234" ht="14.25" customHeight="1" s="41"/>
    <row r="235" ht="14.25" customHeight="1" s="41"/>
    <row r="236" ht="14.25" customHeight="1" s="41"/>
    <row r="237" ht="14.25" customHeight="1" s="41"/>
    <row r="238" ht="14.25" customHeight="1" s="41"/>
    <row r="239" ht="14.25" customHeight="1" s="41"/>
    <row r="240" ht="14.25" customHeight="1" s="41"/>
    <row r="241" ht="14.25" customHeight="1" s="41"/>
    <row r="242" ht="14.25" customHeight="1" s="41"/>
    <row r="243" ht="14.25" customHeight="1" s="41"/>
    <row r="244" ht="14.25" customHeight="1" s="41"/>
    <row r="245" ht="14.25" customHeight="1" s="41"/>
    <row r="246" ht="14.25" customHeight="1" s="41"/>
    <row r="247" ht="14.25" customHeight="1" s="41"/>
    <row r="248" ht="14.25" customHeight="1" s="41"/>
    <row r="249" ht="14.25" customHeight="1" s="41"/>
    <row r="250" ht="14.25" customHeight="1" s="41"/>
    <row r="251" ht="14.25" customHeight="1" s="41"/>
    <row r="252" ht="14.25" customHeight="1" s="41"/>
    <row r="253" ht="14.25" customHeight="1" s="41"/>
    <row r="254" ht="14.25" customHeight="1" s="41"/>
    <row r="255" ht="14.25" customHeight="1" s="41"/>
    <row r="256" ht="14.25" customHeight="1" s="41"/>
    <row r="257" ht="14.25" customHeight="1" s="41"/>
    <row r="258" ht="14.25" customHeight="1" s="41"/>
    <row r="259" ht="14.25" customHeight="1" s="41"/>
    <row r="260" ht="14.25" customHeight="1" s="41"/>
    <row r="261" ht="14.25" customHeight="1" s="41"/>
    <row r="262" ht="14.25" customHeight="1" s="41"/>
    <row r="263" ht="14.25" customHeight="1" s="41"/>
    <row r="264" ht="14.25" customHeight="1" s="41"/>
    <row r="265" ht="14.25" customHeight="1" s="41"/>
    <row r="266" ht="14.25" customHeight="1" s="41"/>
    <row r="267" ht="14.25" customHeight="1" s="41"/>
    <row r="268" ht="14.25" customHeight="1" s="41"/>
    <row r="269" ht="14.25" customHeight="1" s="41"/>
    <row r="270" ht="14.25" customHeight="1" s="41"/>
    <row r="271" ht="14.25" customHeight="1" s="41"/>
    <row r="272" ht="14.25" customHeight="1" s="41"/>
    <row r="273" ht="14.25" customHeight="1" s="41"/>
    <row r="274" ht="14.25" customHeight="1" s="41"/>
    <row r="275" ht="14.25" customHeight="1" s="41"/>
    <row r="276" ht="14.25" customHeight="1" s="41"/>
    <row r="277" ht="14.25" customHeight="1" s="41"/>
    <row r="278" ht="14.25" customHeight="1" s="41"/>
    <row r="279" ht="14.25" customHeight="1" s="41"/>
    <row r="280" ht="14.25" customHeight="1" s="41"/>
    <row r="281" ht="14.25" customHeight="1" s="41"/>
    <row r="282" ht="14.25" customHeight="1" s="41"/>
    <row r="283" ht="14.25" customHeight="1" s="41"/>
    <row r="284" ht="14.25" customHeight="1" s="41"/>
    <row r="285" ht="14.25" customHeight="1" s="41"/>
    <row r="286" ht="14.25" customHeight="1" s="41"/>
    <row r="287" ht="14.25" customHeight="1" s="41"/>
    <row r="288" ht="14.25" customHeight="1" s="41"/>
    <row r="289" ht="14.25" customHeight="1" s="41"/>
    <row r="290" ht="14.25" customHeight="1" s="41"/>
    <row r="291" ht="14.25" customHeight="1" s="41"/>
    <row r="292" ht="14.25" customHeight="1" s="41"/>
    <row r="293" ht="14.25" customHeight="1" s="41"/>
    <row r="294" ht="14.25" customHeight="1" s="41"/>
    <row r="295" ht="14.25" customHeight="1" s="41"/>
    <row r="296" ht="14.25" customHeight="1" s="41"/>
    <row r="297" ht="14.25" customHeight="1" s="41"/>
    <row r="298" ht="14.25" customHeight="1" s="41"/>
    <row r="299" ht="14.25" customHeight="1" s="41"/>
    <row r="300" ht="14.25" customHeight="1" s="41"/>
    <row r="301" ht="14.25" customHeight="1" s="41"/>
    <row r="302" ht="14.25" customHeight="1" s="41"/>
    <row r="303" ht="14.25" customHeight="1" s="41"/>
    <row r="304" ht="14.25" customHeight="1" s="41"/>
    <row r="305" ht="14.25" customHeight="1" s="41"/>
    <row r="306" ht="14.25" customHeight="1" s="41"/>
    <row r="307" ht="14.25" customHeight="1" s="41"/>
    <row r="308" ht="14.25" customHeight="1" s="41"/>
    <row r="309" ht="14.25" customHeight="1" s="41"/>
    <row r="310" ht="14.25" customHeight="1" s="41"/>
    <row r="311" ht="14.25" customHeight="1" s="41"/>
    <row r="312" ht="14.25" customHeight="1" s="41"/>
    <row r="313" ht="14.25" customHeight="1" s="41"/>
    <row r="314" ht="14.25" customHeight="1" s="41"/>
    <row r="315" ht="14.25" customHeight="1" s="41"/>
    <row r="316" ht="14.25" customHeight="1" s="41"/>
    <row r="317" ht="14.25" customHeight="1" s="41"/>
    <row r="318" ht="14.25" customHeight="1" s="41"/>
    <row r="319" ht="14.25" customHeight="1" s="41"/>
    <row r="320" ht="14.25" customHeight="1" s="41"/>
    <row r="321" ht="14.25" customHeight="1" s="41"/>
    <row r="322" ht="14.25" customHeight="1" s="41"/>
    <row r="323" ht="14.25" customHeight="1" s="41"/>
    <row r="324" ht="14.25" customHeight="1" s="41"/>
    <row r="325" ht="14.25" customHeight="1" s="41"/>
    <row r="326" ht="14.25" customHeight="1" s="41"/>
    <row r="327" ht="14.25" customHeight="1" s="41"/>
    <row r="328" ht="14.25" customHeight="1" s="41"/>
    <row r="329" ht="14.25" customHeight="1" s="41"/>
    <row r="330" ht="14.25" customHeight="1" s="41"/>
    <row r="331" ht="14.25" customHeight="1" s="41"/>
    <row r="332" ht="14.25" customHeight="1" s="41"/>
    <row r="333" ht="14.25" customHeight="1" s="41"/>
    <row r="334" ht="14.25" customHeight="1" s="41"/>
    <row r="335" ht="14.25" customHeight="1" s="41"/>
    <row r="336" ht="14.25" customHeight="1" s="41"/>
    <row r="337" ht="14.25" customHeight="1" s="41"/>
    <row r="338" ht="14.25" customHeight="1" s="41"/>
    <row r="339" ht="14.25" customHeight="1" s="41"/>
    <row r="340" ht="14.25" customHeight="1" s="41"/>
    <row r="341" ht="14.25" customHeight="1" s="41"/>
    <row r="342" ht="14.25" customHeight="1" s="41"/>
    <row r="343" ht="14.25" customHeight="1" s="41"/>
    <row r="344" ht="14.25" customHeight="1" s="41"/>
    <row r="345" ht="14.25" customHeight="1" s="41"/>
    <row r="346" ht="14.25" customHeight="1" s="41"/>
    <row r="347" ht="14.25" customHeight="1" s="41"/>
    <row r="348" ht="14.25" customHeight="1" s="41"/>
    <row r="349" ht="14.25" customHeight="1" s="41"/>
    <row r="350" ht="14.25" customHeight="1" s="41"/>
    <row r="351" ht="14.25" customHeight="1" s="41"/>
    <row r="352" ht="14.25" customHeight="1" s="41"/>
    <row r="353" ht="14.25" customHeight="1" s="41"/>
    <row r="354" ht="14.25" customHeight="1" s="41"/>
    <row r="355" ht="14.25" customHeight="1" s="41"/>
    <row r="356" ht="14.25" customHeight="1" s="41"/>
    <row r="357" ht="14.25" customHeight="1" s="41"/>
    <row r="358" ht="14.25" customHeight="1" s="41"/>
    <row r="359" ht="14.25" customHeight="1" s="41"/>
    <row r="360" ht="14.25" customHeight="1" s="41"/>
    <row r="361" ht="14.25" customHeight="1" s="41"/>
    <row r="362" ht="14.25" customHeight="1" s="41"/>
    <row r="363" ht="14.25" customHeight="1" s="41"/>
    <row r="364" ht="14.25" customHeight="1" s="41"/>
    <row r="365" ht="14.25" customHeight="1" s="41"/>
    <row r="366" ht="14.25" customHeight="1" s="41"/>
    <row r="367" ht="14.25" customHeight="1" s="41"/>
    <row r="368" ht="14.25" customHeight="1" s="41"/>
    <row r="369" ht="14.25" customHeight="1" s="41"/>
    <row r="370" ht="14.25" customHeight="1" s="41"/>
    <row r="371" ht="14.25" customHeight="1" s="41"/>
    <row r="372" ht="14.25" customHeight="1" s="41"/>
    <row r="373" ht="14.25" customHeight="1" s="41"/>
    <row r="374" ht="14.25" customHeight="1" s="41"/>
    <row r="375" ht="14.25" customHeight="1" s="41"/>
    <row r="376" ht="14.25" customHeight="1" s="41"/>
    <row r="377" ht="14.25" customHeight="1" s="41"/>
    <row r="378" ht="14.25" customHeight="1" s="41"/>
    <row r="379" ht="14.25" customHeight="1" s="41"/>
    <row r="380" ht="14.25" customHeight="1" s="41"/>
    <row r="381" ht="14.25" customHeight="1" s="41"/>
    <row r="382" ht="14.25" customHeight="1" s="41"/>
    <row r="383" ht="14.25" customHeight="1" s="41"/>
    <row r="384" ht="14.25" customHeight="1" s="41"/>
    <row r="385" ht="14.25" customHeight="1" s="41"/>
    <row r="386" ht="14.25" customHeight="1" s="41"/>
    <row r="387" ht="14.25" customHeight="1" s="41"/>
    <row r="388" ht="14.25" customHeight="1" s="41"/>
    <row r="389" ht="14.25" customHeight="1" s="41"/>
    <row r="390" ht="14.25" customHeight="1" s="41"/>
    <row r="391" ht="14.25" customHeight="1" s="41"/>
    <row r="392" ht="14.25" customHeight="1" s="41"/>
    <row r="393" ht="14.25" customHeight="1" s="41"/>
    <row r="394" ht="14.25" customHeight="1" s="41"/>
    <row r="395" ht="14.25" customHeight="1" s="41"/>
    <row r="396" ht="14.25" customHeight="1" s="41"/>
    <row r="397" ht="14.25" customHeight="1" s="41"/>
    <row r="398" ht="14.25" customHeight="1" s="41"/>
    <row r="399" ht="14.25" customHeight="1" s="41"/>
    <row r="400" ht="14.25" customHeight="1" s="41"/>
    <row r="401" ht="14.25" customHeight="1" s="41"/>
    <row r="402" ht="14.25" customHeight="1" s="41"/>
    <row r="403" ht="14.25" customHeight="1" s="41"/>
    <row r="404" ht="14.25" customHeight="1" s="41"/>
    <row r="405" ht="14.25" customHeight="1" s="41"/>
    <row r="406" ht="14.25" customHeight="1" s="41"/>
    <row r="407" ht="14.25" customHeight="1" s="41"/>
    <row r="408" ht="14.25" customHeight="1" s="41"/>
    <row r="409" ht="14.25" customHeight="1" s="41"/>
    <row r="410" ht="14.25" customHeight="1" s="41"/>
    <row r="411" ht="14.25" customHeight="1" s="41"/>
    <row r="412" ht="14.25" customHeight="1" s="41"/>
    <row r="413" ht="14.25" customHeight="1" s="41"/>
    <row r="414" ht="14.25" customHeight="1" s="41"/>
    <row r="415" ht="14.25" customHeight="1" s="41"/>
    <row r="416" ht="14.25" customHeight="1" s="41"/>
    <row r="417" ht="14.25" customHeight="1" s="41"/>
    <row r="418" ht="14.25" customHeight="1" s="41"/>
    <row r="419" ht="14.25" customHeight="1" s="41"/>
    <row r="420" ht="14.25" customHeight="1" s="41"/>
    <row r="421" ht="14.25" customHeight="1" s="41"/>
    <row r="422" ht="14.25" customHeight="1" s="41"/>
    <row r="423" ht="14.25" customHeight="1" s="41"/>
    <row r="424" ht="14.25" customHeight="1" s="41"/>
    <row r="425" ht="14.25" customHeight="1" s="41"/>
    <row r="426" ht="14.25" customHeight="1" s="41"/>
    <row r="427" ht="14.25" customHeight="1" s="41"/>
    <row r="428" ht="14.25" customHeight="1" s="41"/>
    <row r="429" ht="14.25" customHeight="1" s="41"/>
    <row r="430" ht="14.25" customHeight="1" s="41"/>
    <row r="431" ht="14.25" customHeight="1" s="41"/>
    <row r="432" ht="14.25" customHeight="1" s="41"/>
    <row r="433" ht="14.25" customHeight="1" s="41"/>
    <row r="434" ht="14.25" customHeight="1" s="41"/>
    <row r="435" ht="14.25" customHeight="1" s="41"/>
    <row r="436" ht="14.25" customHeight="1" s="41"/>
    <row r="437" ht="14.25" customHeight="1" s="41"/>
    <row r="438" ht="14.25" customHeight="1" s="41"/>
    <row r="439" ht="14.25" customHeight="1" s="41"/>
    <row r="440" ht="14.25" customHeight="1" s="41"/>
    <row r="441" ht="14.25" customHeight="1" s="41"/>
    <row r="442" ht="14.25" customHeight="1" s="41"/>
    <row r="443" ht="14.25" customHeight="1" s="41"/>
    <row r="444" ht="14.25" customHeight="1" s="41"/>
    <row r="445" ht="14.25" customHeight="1" s="41"/>
    <row r="446" ht="14.25" customHeight="1" s="41"/>
    <row r="447" ht="14.25" customHeight="1" s="41"/>
    <row r="448" ht="14.25" customHeight="1" s="41"/>
    <row r="449" ht="14.25" customHeight="1" s="41"/>
    <row r="450" ht="14.25" customHeight="1" s="41"/>
    <row r="451" ht="14.25" customHeight="1" s="41"/>
    <row r="452" ht="14.25" customHeight="1" s="41"/>
    <row r="453" ht="14.25" customHeight="1" s="41"/>
    <row r="454" ht="14.25" customHeight="1" s="41"/>
    <row r="455" ht="14.25" customHeight="1" s="41"/>
    <row r="456" ht="14.25" customHeight="1" s="41"/>
    <row r="457" ht="14.25" customHeight="1" s="41"/>
    <row r="458" ht="14.25" customHeight="1" s="41"/>
    <row r="459" ht="14.25" customHeight="1" s="41"/>
    <row r="460" ht="14.25" customHeight="1" s="41"/>
    <row r="461" ht="14.25" customHeight="1" s="41"/>
    <row r="462" ht="14.25" customHeight="1" s="41"/>
    <row r="463" ht="14.25" customHeight="1" s="41"/>
    <row r="464" ht="14.25" customHeight="1" s="41"/>
    <row r="465" ht="14.25" customHeight="1" s="41"/>
    <row r="466" ht="14.25" customHeight="1" s="41"/>
    <row r="467" ht="14.25" customHeight="1" s="41"/>
    <row r="468" ht="14.25" customHeight="1" s="41"/>
    <row r="469" ht="14.25" customHeight="1" s="41"/>
    <row r="470" ht="14.25" customHeight="1" s="41"/>
    <row r="471" ht="14.25" customHeight="1" s="41"/>
    <row r="472" ht="14.25" customHeight="1" s="41"/>
    <row r="473" ht="14.25" customHeight="1" s="41"/>
    <row r="474" ht="14.25" customHeight="1" s="41"/>
    <row r="475" ht="14.25" customHeight="1" s="41"/>
    <row r="476" ht="14.25" customHeight="1" s="41"/>
    <row r="477" ht="14.25" customHeight="1" s="41"/>
    <row r="478" ht="14.25" customHeight="1" s="41"/>
    <row r="479" ht="14.25" customHeight="1" s="41"/>
    <row r="480" ht="14.25" customHeight="1" s="41"/>
    <row r="481" ht="14.25" customHeight="1" s="41"/>
    <row r="482" ht="14.25" customHeight="1" s="41"/>
    <row r="483" ht="14.25" customHeight="1" s="41"/>
    <row r="484" ht="14.25" customHeight="1" s="41"/>
    <row r="485" ht="14.25" customHeight="1" s="41"/>
    <row r="486" ht="14.25" customHeight="1" s="41"/>
    <row r="487" ht="14.25" customHeight="1" s="41"/>
    <row r="488" ht="14.25" customHeight="1" s="41"/>
    <row r="489" ht="14.25" customHeight="1" s="41"/>
    <row r="490" ht="14.25" customHeight="1" s="41"/>
    <row r="491" ht="14.25" customHeight="1" s="41"/>
    <row r="492" ht="14.25" customHeight="1" s="41"/>
    <row r="493" ht="14.25" customHeight="1" s="41"/>
    <row r="494" ht="14.25" customHeight="1" s="41"/>
    <row r="495" ht="14.25" customHeight="1" s="41"/>
    <row r="496" ht="14.25" customHeight="1" s="41"/>
    <row r="497" ht="14.25" customHeight="1" s="41"/>
    <row r="498" ht="14.25" customHeight="1" s="41"/>
    <row r="499" ht="14.25" customHeight="1" s="41"/>
    <row r="500" ht="14.25" customHeight="1" s="41"/>
    <row r="501" ht="14.25" customHeight="1" s="41"/>
    <row r="502" ht="14.25" customHeight="1" s="41"/>
    <row r="503" ht="14.25" customHeight="1" s="41"/>
    <row r="504" ht="14.25" customHeight="1" s="41"/>
    <row r="505" ht="14.25" customHeight="1" s="41"/>
    <row r="506" ht="14.25" customHeight="1" s="41"/>
    <row r="507" ht="14.25" customHeight="1" s="41"/>
    <row r="508" ht="14.25" customHeight="1" s="41"/>
    <row r="509" ht="14.25" customHeight="1" s="41"/>
    <row r="510" ht="14.25" customHeight="1" s="41"/>
    <row r="511" ht="14.25" customHeight="1" s="41"/>
    <row r="512" ht="14.25" customHeight="1" s="41"/>
    <row r="513" ht="14.25" customHeight="1" s="41"/>
    <row r="514" ht="14.25" customHeight="1" s="41"/>
    <row r="515" ht="14.25" customHeight="1" s="41"/>
    <row r="516" ht="14.25" customHeight="1" s="41"/>
    <row r="517" ht="14.25" customHeight="1" s="41"/>
    <row r="518" ht="14.25" customHeight="1" s="41"/>
    <row r="519" ht="14.25" customHeight="1" s="41"/>
    <row r="520" ht="14.25" customHeight="1" s="41"/>
    <row r="521" ht="14.25" customHeight="1" s="41"/>
    <row r="522" ht="14.25" customHeight="1" s="41"/>
    <row r="523" ht="14.25" customHeight="1" s="41"/>
    <row r="524" ht="14.25" customHeight="1" s="41"/>
    <row r="525" ht="14.25" customHeight="1" s="41"/>
    <row r="526" ht="14.25" customHeight="1" s="41"/>
    <row r="527" ht="14.25" customHeight="1" s="41"/>
    <row r="528" ht="14.25" customHeight="1" s="41"/>
    <row r="529" ht="14.25" customHeight="1" s="41"/>
    <row r="530" ht="14.25" customHeight="1" s="41"/>
    <row r="531" ht="14.25" customHeight="1" s="41"/>
    <row r="532" ht="14.25" customHeight="1" s="41"/>
    <row r="533" ht="14.25" customHeight="1" s="41"/>
    <row r="534" ht="14.25" customHeight="1" s="41"/>
    <row r="535" ht="14.25" customHeight="1" s="41"/>
    <row r="536" ht="14.25" customHeight="1" s="41"/>
    <row r="537" ht="14.25" customHeight="1" s="41"/>
    <row r="538" ht="14.25" customHeight="1" s="41"/>
    <row r="539" ht="14.25" customHeight="1" s="41"/>
    <row r="540" ht="14.25" customHeight="1" s="41"/>
    <row r="541" ht="14.25" customHeight="1" s="41"/>
    <row r="542" ht="14.25" customHeight="1" s="41"/>
    <row r="543" ht="14.25" customHeight="1" s="41"/>
    <row r="544" ht="14.25" customHeight="1" s="41"/>
    <row r="545" ht="14.25" customHeight="1" s="41"/>
    <row r="546" ht="14.25" customHeight="1" s="41"/>
    <row r="547" ht="14.25" customHeight="1" s="41"/>
    <row r="548" ht="14.25" customHeight="1" s="41"/>
    <row r="549" ht="14.25" customHeight="1" s="41"/>
    <row r="550" ht="14.25" customHeight="1" s="41"/>
    <row r="551" ht="14.25" customHeight="1" s="41"/>
    <row r="552" ht="14.25" customHeight="1" s="41"/>
    <row r="553" ht="14.25" customHeight="1" s="41"/>
    <row r="554" ht="14.25" customHeight="1" s="41"/>
    <row r="555" ht="14.25" customHeight="1" s="41"/>
    <row r="556" ht="14.25" customHeight="1" s="41"/>
    <row r="557" ht="14.25" customHeight="1" s="41"/>
    <row r="558" ht="14.25" customHeight="1" s="41"/>
    <row r="559" ht="14.25" customHeight="1" s="41"/>
    <row r="560" ht="14.25" customHeight="1" s="41"/>
    <row r="561" ht="14.25" customHeight="1" s="41"/>
    <row r="562" ht="14.25" customHeight="1" s="41"/>
    <row r="563" ht="14.25" customHeight="1" s="41"/>
    <row r="564" ht="14.25" customHeight="1" s="41"/>
    <row r="565" ht="14.25" customHeight="1" s="41"/>
    <row r="566" ht="14.25" customHeight="1" s="41"/>
    <row r="567" ht="14.25" customHeight="1" s="41"/>
    <row r="568" ht="14.25" customHeight="1" s="41"/>
    <row r="569" ht="14.25" customHeight="1" s="41"/>
    <row r="570" ht="14.25" customHeight="1" s="41"/>
    <row r="571" ht="14.25" customHeight="1" s="41"/>
    <row r="572" ht="14.25" customHeight="1" s="41"/>
    <row r="573" ht="14.25" customHeight="1" s="41"/>
    <row r="574" ht="14.25" customHeight="1" s="41"/>
    <row r="575" ht="14.25" customHeight="1" s="41"/>
    <row r="576" ht="14.25" customHeight="1" s="41"/>
    <row r="577" ht="14.25" customHeight="1" s="41"/>
    <row r="578" ht="14.25" customHeight="1" s="41"/>
    <row r="579" ht="14.25" customHeight="1" s="41"/>
    <row r="580" ht="14.25" customHeight="1" s="41"/>
    <row r="581" ht="14.25" customHeight="1" s="41"/>
    <row r="582" ht="14.25" customHeight="1" s="41"/>
    <row r="583" ht="14.25" customHeight="1" s="41"/>
    <row r="584" ht="14.25" customHeight="1" s="41"/>
    <row r="585" ht="14.25" customHeight="1" s="41"/>
    <row r="586" ht="14.25" customHeight="1" s="41"/>
    <row r="587" ht="14.25" customHeight="1" s="41"/>
    <row r="588" ht="14.25" customHeight="1" s="41"/>
    <row r="589" ht="14.25" customHeight="1" s="41"/>
    <row r="590" ht="14.25" customHeight="1" s="41"/>
    <row r="591" ht="14.25" customHeight="1" s="41"/>
    <row r="592" ht="14.25" customHeight="1" s="41"/>
    <row r="593" ht="14.25" customHeight="1" s="41"/>
    <row r="594" ht="14.25" customHeight="1" s="41"/>
    <row r="595" ht="14.25" customHeight="1" s="41"/>
    <row r="596" ht="14.25" customHeight="1" s="41"/>
    <row r="597" ht="14.25" customHeight="1" s="41"/>
    <row r="598" ht="14.25" customHeight="1" s="41"/>
    <row r="599" ht="14.25" customHeight="1" s="41"/>
    <row r="600" ht="14.25" customHeight="1" s="41"/>
    <row r="601" ht="14.25" customHeight="1" s="41"/>
    <row r="602" ht="14.25" customHeight="1" s="41"/>
    <row r="603" ht="14.25" customHeight="1" s="41"/>
    <row r="604" ht="14.25" customHeight="1" s="41"/>
    <row r="605" ht="14.25" customHeight="1" s="41"/>
    <row r="606" ht="14.25" customHeight="1" s="41"/>
    <row r="607" ht="14.25" customHeight="1" s="41"/>
    <row r="608" ht="14.25" customHeight="1" s="41"/>
    <row r="609" ht="14.25" customHeight="1" s="41"/>
    <row r="610" ht="14.25" customHeight="1" s="41"/>
    <row r="611" ht="14.25" customHeight="1" s="41"/>
    <row r="612" ht="14.25" customHeight="1" s="41"/>
    <row r="613" ht="14.25" customHeight="1" s="41"/>
    <row r="614" ht="14.25" customHeight="1" s="41"/>
    <row r="615" ht="14.25" customHeight="1" s="41"/>
    <row r="616" ht="14.25" customHeight="1" s="41"/>
    <row r="617" ht="14.25" customHeight="1" s="41"/>
    <row r="618" ht="14.25" customHeight="1" s="41"/>
    <row r="619" ht="14.25" customHeight="1" s="41"/>
    <row r="620" ht="14.25" customHeight="1" s="41"/>
    <row r="621" ht="14.25" customHeight="1" s="41"/>
    <row r="622" ht="14.25" customHeight="1" s="41"/>
    <row r="623" ht="14.25" customHeight="1" s="41"/>
    <row r="624" ht="14.25" customHeight="1" s="41"/>
    <row r="625" ht="14.25" customHeight="1" s="41"/>
    <row r="626" ht="14.25" customHeight="1" s="41"/>
    <row r="627" ht="14.25" customHeight="1" s="41"/>
    <row r="628" ht="14.25" customHeight="1" s="41"/>
    <row r="629" ht="14.25" customHeight="1" s="41"/>
    <row r="630" ht="14.25" customHeight="1" s="41"/>
    <row r="631" ht="14.25" customHeight="1" s="41"/>
    <row r="632" ht="14.25" customHeight="1" s="41"/>
    <row r="633" ht="14.25" customHeight="1" s="41"/>
    <row r="634" ht="14.25" customHeight="1" s="41"/>
    <row r="635" ht="14.25" customHeight="1" s="41"/>
    <row r="636" ht="14.25" customHeight="1" s="41"/>
    <row r="637" ht="14.25" customHeight="1" s="41"/>
    <row r="638" ht="14.25" customHeight="1" s="41"/>
    <row r="639" ht="14.25" customHeight="1" s="41"/>
    <row r="640" ht="14.25" customHeight="1" s="41"/>
    <row r="641" ht="14.25" customHeight="1" s="41"/>
    <row r="642" ht="14.25" customHeight="1" s="41"/>
    <row r="643" ht="14.25" customHeight="1" s="41"/>
    <row r="644" ht="14.25" customHeight="1" s="41"/>
    <row r="645" ht="14.25" customHeight="1" s="41"/>
    <row r="646" ht="14.25" customHeight="1" s="41"/>
    <row r="647" ht="14.25" customHeight="1" s="41"/>
    <row r="648" ht="14.25" customHeight="1" s="41"/>
    <row r="649" ht="14.25" customHeight="1" s="41"/>
    <row r="650" ht="14.25" customHeight="1" s="41"/>
    <row r="651" ht="14.25" customHeight="1" s="41"/>
    <row r="652" ht="14.25" customHeight="1" s="41"/>
    <row r="653" ht="14.25" customHeight="1" s="41"/>
    <row r="654" ht="14.25" customHeight="1" s="41"/>
    <row r="655" ht="14.25" customHeight="1" s="41"/>
    <row r="656" ht="14.25" customHeight="1" s="41"/>
    <row r="657" ht="14.25" customHeight="1" s="41"/>
    <row r="658" ht="14.25" customHeight="1" s="41"/>
    <row r="659" ht="14.25" customHeight="1" s="41"/>
    <row r="660" ht="14.25" customHeight="1" s="41"/>
    <row r="661" ht="14.25" customHeight="1" s="41"/>
    <row r="662" ht="14.25" customHeight="1" s="41"/>
    <row r="663" ht="14.25" customHeight="1" s="41"/>
    <row r="664" ht="14.25" customHeight="1" s="41"/>
    <row r="665" ht="14.25" customHeight="1" s="41"/>
    <row r="666" ht="14.25" customHeight="1" s="41"/>
    <row r="667" ht="14.25" customHeight="1" s="41"/>
    <row r="668" ht="14.25" customHeight="1" s="41"/>
    <row r="669" ht="14.25" customHeight="1" s="41"/>
    <row r="670" ht="14.25" customHeight="1" s="41"/>
    <row r="671" ht="14.25" customHeight="1" s="41"/>
    <row r="672" ht="14.25" customHeight="1" s="41"/>
    <row r="673" ht="14.25" customHeight="1" s="41"/>
    <row r="674" ht="14.25" customHeight="1" s="41"/>
    <row r="675" ht="14.25" customHeight="1" s="41"/>
    <row r="676" ht="14.25" customHeight="1" s="41"/>
    <row r="677" ht="14.25" customHeight="1" s="41"/>
    <row r="678" ht="14.25" customHeight="1" s="41"/>
    <row r="679" ht="14.25" customHeight="1" s="41"/>
    <row r="680" ht="14.25" customHeight="1" s="41"/>
    <row r="681" ht="14.25" customHeight="1" s="41"/>
    <row r="682" ht="14.25" customHeight="1" s="41"/>
    <row r="683" ht="14.25" customHeight="1" s="41"/>
    <row r="684" ht="14.25" customHeight="1" s="41"/>
    <row r="685" ht="14.25" customHeight="1" s="41"/>
    <row r="686" ht="14.25" customHeight="1" s="41"/>
    <row r="687" ht="14.25" customHeight="1" s="41"/>
    <row r="688" ht="14.25" customHeight="1" s="41"/>
    <row r="689" ht="14.25" customHeight="1" s="41"/>
    <row r="690" ht="14.25" customHeight="1" s="41"/>
    <row r="691" ht="14.25" customHeight="1" s="41"/>
    <row r="692" ht="14.25" customHeight="1" s="41"/>
    <row r="693" ht="14.25" customHeight="1" s="41"/>
    <row r="694" ht="14.25" customHeight="1" s="41"/>
    <row r="695" ht="14.25" customHeight="1" s="41"/>
    <row r="696" ht="14.25" customHeight="1" s="41"/>
    <row r="697" ht="14.25" customHeight="1" s="41"/>
    <row r="698" ht="14.25" customHeight="1" s="41"/>
    <row r="699" ht="14.25" customHeight="1" s="41"/>
    <row r="700" ht="14.25" customHeight="1" s="41"/>
    <row r="701" ht="14.25" customHeight="1" s="41"/>
    <row r="702" ht="14.25" customHeight="1" s="41"/>
    <row r="703" ht="14.25" customHeight="1" s="41"/>
    <row r="704" ht="14.25" customHeight="1" s="41"/>
    <row r="705" ht="14.25" customHeight="1" s="41"/>
    <row r="706" ht="14.25" customHeight="1" s="41"/>
    <row r="707" ht="14.25" customHeight="1" s="41"/>
    <row r="708" ht="14.25" customHeight="1" s="41"/>
    <row r="709" ht="14.25" customHeight="1" s="41"/>
    <row r="710" ht="14.25" customHeight="1" s="41"/>
    <row r="711" ht="14.25" customHeight="1" s="41"/>
    <row r="712" ht="14.25" customHeight="1" s="41"/>
    <row r="713" ht="14.25" customHeight="1" s="41"/>
    <row r="714" ht="14.25" customHeight="1" s="41"/>
    <row r="715" ht="14.25" customHeight="1" s="41"/>
    <row r="716" ht="14.25" customHeight="1" s="41"/>
    <row r="717" ht="14.25" customHeight="1" s="41"/>
    <row r="718" ht="14.25" customHeight="1" s="41"/>
    <row r="719" ht="14.25" customHeight="1" s="41"/>
    <row r="720" ht="14.25" customHeight="1" s="41"/>
    <row r="721" ht="14.25" customHeight="1" s="41"/>
    <row r="722" ht="14.25" customHeight="1" s="41"/>
    <row r="723" ht="14.25" customHeight="1" s="41"/>
    <row r="724" ht="14.25" customHeight="1" s="41"/>
    <row r="725" ht="14.25" customHeight="1" s="41"/>
    <row r="726" ht="14.25" customHeight="1" s="41"/>
    <row r="727" ht="14.25" customHeight="1" s="41"/>
    <row r="728" ht="14.25" customHeight="1" s="41"/>
    <row r="729" ht="14.25" customHeight="1" s="41"/>
    <row r="730" ht="14.25" customHeight="1" s="41"/>
    <row r="731" ht="14.25" customHeight="1" s="41"/>
    <row r="732" ht="14.25" customHeight="1" s="41"/>
    <row r="733" ht="14.25" customHeight="1" s="41"/>
    <row r="734" ht="14.25" customHeight="1" s="41"/>
    <row r="735" ht="14.25" customHeight="1" s="41"/>
    <row r="736" ht="14.25" customHeight="1" s="41"/>
    <row r="737" ht="14.25" customHeight="1" s="41"/>
    <row r="738" ht="14.25" customHeight="1" s="41"/>
    <row r="739" ht="14.25" customHeight="1" s="41"/>
    <row r="740" ht="14.25" customHeight="1" s="41"/>
    <row r="741" ht="14.25" customHeight="1" s="41"/>
    <row r="742" ht="14.25" customHeight="1" s="41"/>
    <row r="743" ht="14.25" customHeight="1" s="41"/>
    <row r="744" ht="14.25" customHeight="1" s="41"/>
    <row r="745" ht="14.25" customHeight="1" s="41"/>
    <row r="746" ht="14.25" customHeight="1" s="41"/>
    <row r="747" ht="14.25" customHeight="1" s="41"/>
    <row r="748" ht="14.25" customHeight="1" s="41"/>
    <row r="749" ht="14.25" customHeight="1" s="41"/>
    <row r="750" ht="14.25" customHeight="1" s="41"/>
    <row r="751" ht="14.25" customHeight="1" s="41"/>
    <row r="752" ht="14.25" customHeight="1" s="41"/>
    <row r="753" ht="14.25" customHeight="1" s="41"/>
    <row r="754" ht="14.25" customHeight="1" s="41"/>
    <row r="755" ht="14.25" customHeight="1" s="41"/>
    <row r="756" ht="14.25" customHeight="1" s="41"/>
    <row r="757" ht="14.25" customHeight="1" s="41"/>
    <row r="758" ht="14.25" customHeight="1" s="41"/>
    <row r="759" ht="14.25" customHeight="1" s="41"/>
    <row r="760" ht="14.25" customHeight="1" s="41"/>
    <row r="761" ht="14.25" customHeight="1" s="41"/>
    <row r="762" ht="14.25" customHeight="1" s="41"/>
    <row r="763" ht="14.25" customHeight="1" s="41"/>
    <row r="764" ht="14.25" customHeight="1" s="41"/>
    <row r="765" ht="14.25" customHeight="1" s="41"/>
    <row r="766" ht="14.25" customHeight="1" s="41"/>
    <row r="767" ht="14.25" customHeight="1" s="41"/>
    <row r="768" ht="14.25" customHeight="1" s="41"/>
    <row r="769" ht="14.25" customHeight="1" s="41"/>
    <row r="770" ht="14.25" customHeight="1" s="41"/>
    <row r="771" ht="14.25" customHeight="1" s="41"/>
    <row r="772" ht="14.25" customHeight="1" s="41"/>
    <row r="773" ht="14.25" customHeight="1" s="41"/>
    <row r="774" ht="14.25" customHeight="1" s="41"/>
    <row r="775" ht="14.25" customHeight="1" s="41"/>
    <row r="776" ht="14.25" customHeight="1" s="41"/>
    <row r="777" ht="14.25" customHeight="1" s="41"/>
    <row r="778" ht="14.25" customHeight="1" s="41"/>
    <row r="779" ht="14.25" customHeight="1" s="41"/>
    <row r="780" ht="14.25" customHeight="1" s="41"/>
    <row r="781" ht="14.25" customHeight="1" s="41"/>
    <row r="782" ht="14.25" customHeight="1" s="41"/>
    <row r="783" ht="14.25" customHeight="1" s="41"/>
    <row r="784" ht="14.25" customHeight="1" s="41"/>
    <row r="785" ht="14.25" customHeight="1" s="41"/>
    <row r="786" ht="14.25" customHeight="1" s="41"/>
    <row r="787" ht="14.25" customHeight="1" s="41"/>
    <row r="788" ht="14.25" customHeight="1" s="41"/>
    <row r="789" ht="14.25" customHeight="1" s="41"/>
    <row r="790" ht="14.25" customHeight="1" s="41"/>
    <row r="791" ht="14.25" customHeight="1" s="41"/>
    <row r="792" ht="14.25" customHeight="1" s="41"/>
    <row r="793" ht="14.25" customHeight="1" s="41"/>
    <row r="794" ht="14.25" customHeight="1" s="41"/>
    <row r="795" ht="14.25" customHeight="1" s="41"/>
    <row r="796" ht="14.25" customHeight="1" s="41"/>
    <row r="797" ht="14.25" customHeight="1" s="41"/>
    <row r="798" ht="14.25" customHeight="1" s="41"/>
    <row r="799" ht="14.25" customHeight="1" s="41"/>
    <row r="800" ht="14.25" customHeight="1" s="41"/>
    <row r="801" ht="14.25" customHeight="1" s="41"/>
    <row r="802" ht="14.25" customHeight="1" s="41"/>
    <row r="803" ht="14.25" customHeight="1" s="41"/>
    <row r="804" ht="14.25" customHeight="1" s="41"/>
    <row r="805" ht="14.25" customHeight="1" s="41"/>
    <row r="806" ht="14.25" customHeight="1" s="41"/>
    <row r="807" ht="14.25" customHeight="1" s="41"/>
    <row r="808" ht="14.25" customHeight="1" s="41"/>
    <row r="809" ht="14.25" customHeight="1" s="41"/>
    <row r="810" ht="14.25" customHeight="1" s="41"/>
    <row r="811" ht="14.25" customHeight="1" s="41"/>
    <row r="812" ht="14.25" customHeight="1" s="41"/>
    <row r="813" ht="14.25" customHeight="1" s="41"/>
    <row r="814" ht="14.25" customHeight="1" s="41"/>
    <row r="815" ht="14.25" customHeight="1" s="41"/>
    <row r="816" ht="14.25" customHeight="1" s="41"/>
    <row r="817" ht="14.25" customHeight="1" s="41"/>
    <row r="818" ht="14.25" customHeight="1" s="41"/>
    <row r="819" ht="14.25" customHeight="1" s="41"/>
    <row r="820" ht="14.25" customHeight="1" s="41"/>
    <row r="821" ht="14.25" customHeight="1" s="41"/>
    <row r="822" ht="14.25" customHeight="1" s="41"/>
    <row r="823" ht="14.25" customHeight="1" s="41"/>
    <row r="824" ht="14.25" customHeight="1" s="41"/>
    <row r="825" ht="14.25" customHeight="1" s="41"/>
    <row r="826" ht="14.25" customHeight="1" s="41"/>
    <row r="827" ht="14.25" customHeight="1" s="41"/>
    <row r="828" ht="14.25" customHeight="1" s="41"/>
    <row r="829" ht="14.25" customHeight="1" s="41"/>
    <row r="830" ht="14.25" customHeight="1" s="41"/>
    <row r="831" ht="14.25" customHeight="1" s="41"/>
    <row r="832" ht="14.25" customHeight="1" s="41"/>
    <row r="833" ht="14.25" customHeight="1" s="41"/>
    <row r="834" ht="14.25" customHeight="1" s="41"/>
    <row r="835" ht="14.25" customHeight="1" s="41"/>
    <row r="836" ht="14.25" customHeight="1" s="41"/>
    <row r="837" ht="14.25" customHeight="1" s="41"/>
    <row r="838" ht="14.25" customHeight="1" s="41"/>
    <row r="839" ht="14.25" customHeight="1" s="41"/>
    <row r="840" ht="14.25" customHeight="1" s="41"/>
    <row r="841" ht="14.25" customHeight="1" s="41"/>
    <row r="842" ht="14.25" customHeight="1" s="41"/>
    <row r="843" ht="14.25" customHeight="1" s="41"/>
    <row r="844" ht="14.25" customHeight="1" s="41"/>
    <row r="845" ht="14.25" customHeight="1" s="41"/>
    <row r="846" ht="14.25" customHeight="1" s="41"/>
    <row r="847" ht="14.25" customHeight="1" s="41"/>
    <row r="848" ht="14.25" customHeight="1" s="41"/>
    <row r="849" ht="14.25" customHeight="1" s="41"/>
    <row r="850" ht="14.25" customHeight="1" s="41"/>
    <row r="851" ht="14.25" customHeight="1" s="41"/>
    <row r="852" ht="14.25" customHeight="1" s="41"/>
    <row r="853" ht="14.25" customHeight="1" s="41"/>
    <row r="854" ht="14.25" customHeight="1" s="41"/>
    <row r="855" ht="14.25" customHeight="1" s="41"/>
    <row r="856" ht="14.25" customHeight="1" s="41"/>
    <row r="857" ht="14.25" customHeight="1" s="41"/>
    <row r="858" ht="14.25" customHeight="1" s="41"/>
    <row r="859" ht="14.25" customHeight="1" s="41"/>
    <row r="860" ht="14.25" customHeight="1" s="41"/>
    <row r="861" ht="14.25" customHeight="1" s="41"/>
    <row r="862" ht="14.25" customHeight="1" s="41"/>
    <row r="863" ht="14.25" customHeight="1" s="41"/>
    <row r="864" ht="14.25" customHeight="1" s="41"/>
    <row r="865" ht="14.25" customHeight="1" s="41"/>
    <row r="866" ht="14.25" customHeight="1" s="41"/>
    <row r="867" ht="14.25" customHeight="1" s="41"/>
    <row r="868" ht="14.25" customHeight="1" s="41"/>
    <row r="869" ht="14.25" customHeight="1" s="41"/>
    <row r="870" ht="14.25" customHeight="1" s="41"/>
    <row r="871" ht="14.25" customHeight="1" s="41"/>
    <row r="872" ht="14.25" customHeight="1" s="41"/>
    <row r="873" ht="14.25" customHeight="1" s="41"/>
    <row r="874" ht="14.25" customHeight="1" s="41"/>
    <row r="875" ht="14.25" customHeight="1" s="41"/>
    <row r="876" ht="14.25" customHeight="1" s="41"/>
    <row r="877" ht="14.25" customHeight="1" s="41"/>
    <row r="878" ht="14.25" customHeight="1" s="41"/>
    <row r="879" ht="14.25" customHeight="1" s="41"/>
    <row r="880" ht="14.25" customHeight="1" s="41"/>
    <row r="881" ht="14.25" customHeight="1" s="41"/>
    <row r="882" ht="14.25" customHeight="1" s="41"/>
    <row r="883" ht="14.25" customHeight="1" s="41"/>
    <row r="884" ht="14.25" customHeight="1" s="41"/>
    <row r="885" ht="14.25" customHeight="1" s="41"/>
    <row r="886" ht="14.25" customHeight="1" s="41"/>
    <row r="887" ht="14.25" customHeight="1" s="41"/>
    <row r="888" ht="14.25" customHeight="1" s="41"/>
    <row r="889" ht="14.25" customHeight="1" s="41"/>
    <row r="890" ht="14.25" customHeight="1" s="41"/>
    <row r="891" ht="14.25" customHeight="1" s="41"/>
    <row r="892" ht="14.25" customHeight="1" s="41"/>
    <row r="893" ht="14.25" customHeight="1" s="41"/>
    <row r="894" ht="14.25" customHeight="1" s="41"/>
    <row r="895" ht="14.25" customHeight="1" s="41"/>
    <row r="896" ht="14.25" customHeight="1" s="41"/>
    <row r="897" ht="14.25" customHeight="1" s="41"/>
    <row r="898" ht="14.25" customHeight="1" s="41"/>
    <row r="899" ht="14.25" customHeight="1" s="41"/>
    <row r="900" ht="14.25" customHeight="1" s="41"/>
    <row r="901" ht="14.25" customHeight="1" s="41"/>
    <row r="902" ht="14.25" customHeight="1" s="41"/>
    <row r="903" ht="14.25" customHeight="1" s="41"/>
    <row r="904" ht="14.25" customHeight="1" s="41"/>
    <row r="905" ht="14.25" customHeight="1" s="41"/>
    <row r="906" ht="14.25" customHeight="1" s="41"/>
    <row r="907" ht="14.25" customHeight="1" s="41"/>
    <row r="908" ht="14.25" customHeight="1" s="41"/>
    <row r="909" ht="14.25" customHeight="1" s="41"/>
    <row r="910" ht="14.25" customHeight="1" s="41"/>
    <row r="911" ht="14.25" customHeight="1" s="41"/>
    <row r="912" ht="14.25" customHeight="1" s="41"/>
    <row r="913" ht="14.25" customHeight="1" s="41"/>
    <row r="914" ht="14.25" customHeight="1" s="41"/>
    <row r="915" ht="14.25" customHeight="1" s="41"/>
    <row r="916" ht="14.25" customHeight="1" s="41"/>
    <row r="917" ht="14.25" customHeight="1" s="41"/>
    <row r="918" ht="14.25" customHeight="1" s="41"/>
    <row r="919" ht="14.25" customHeight="1" s="41"/>
    <row r="920" ht="14.25" customHeight="1" s="41"/>
    <row r="921" ht="14.25" customHeight="1" s="41"/>
    <row r="922" ht="14.25" customHeight="1" s="41"/>
    <row r="923" ht="14.25" customHeight="1" s="41"/>
    <row r="924" ht="14.25" customHeight="1" s="41"/>
    <row r="925" ht="14.25" customHeight="1" s="41"/>
    <row r="926" ht="14.25" customHeight="1" s="41"/>
    <row r="927" ht="14.25" customHeight="1" s="41"/>
    <row r="928" ht="14.25" customHeight="1" s="41"/>
    <row r="929" ht="14.25" customHeight="1" s="41"/>
    <row r="930" ht="14.25" customHeight="1" s="41"/>
    <row r="931" ht="14.25" customHeight="1" s="41"/>
    <row r="932" ht="14.25" customHeight="1" s="41"/>
    <row r="933" ht="14.25" customHeight="1" s="41"/>
    <row r="934" ht="14.25" customHeight="1" s="41"/>
    <row r="935" ht="14.25" customHeight="1" s="41"/>
    <row r="936" ht="14.25" customHeight="1" s="41"/>
    <row r="937" ht="14.25" customHeight="1" s="41"/>
    <row r="938" ht="14.25" customHeight="1" s="41"/>
    <row r="939" ht="14.25" customHeight="1" s="41"/>
    <row r="940" ht="14.25" customHeight="1" s="41"/>
    <row r="941" ht="14.25" customHeight="1" s="41"/>
    <row r="942" ht="14.25" customHeight="1" s="41"/>
    <row r="943" ht="14.25" customHeight="1" s="41"/>
    <row r="944" ht="14.25" customHeight="1" s="41"/>
    <row r="945" ht="14.25" customHeight="1" s="41"/>
    <row r="946" ht="14.25" customHeight="1" s="41"/>
    <row r="947" ht="14.25" customHeight="1" s="41"/>
    <row r="948" ht="14.25" customHeight="1" s="41"/>
    <row r="949" ht="14.25" customHeight="1" s="41"/>
    <row r="950" ht="14.25" customHeight="1" s="41"/>
    <row r="951" ht="14.25" customHeight="1" s="41"/>
    <row r="952" ht="14.25" customHeight="1" s="41"/>
    <row r="953" ht="14.25" customHeight="1" s="41"/>
    <row r="954" ht="14.25" customHeight="1" s="41"/>
    <row r="955" ht="14.25" customHeight="1" s="41"/>
    <row r="956" ht="14.25" customHeight="1" s="41"/>
    <row r="957" ht="14.25" customHeight="1" s="41"/>
    <row r="958" ht="14.25" customHeight="1" s="41"/>
    <row r="959" ht="14.25" customHeight="1" s="41"/>
    <row r="960" ht="14.25" customHeight="1" s="41"/>
    <row r="961" ht="14.25" customHeight="1" s="41"/>
    <row r="962" ht="14.25" customHeight="1" s="41"/>
    <row r="963" ht="14.25" customHeight="1" s="41"/>
    <row r="964" ht="14.25" customHeight="1" s="41"/>
    <row r="965" ht="14.25" customHeight="1" s="41"/>
    <row r="966" ht="14.25" customHeight="1" s="41"/>
    <row r="967" ht="14.25" customHeight="1" s="41"/>
    <row r="968" ht="14.25" customHeight="1" s="41"/>
    <row r="969" ht="14.25" customHeight="1" s="41"/>
    <row r="970" ht="14.25" customHeight="1" s="41"/>
    <row r="971" ht="14.25" customHeight="1" s="41"/>
    <row r="972" ht="14.25" customHeight="1" s="41"/>
    <row r="973" ht="14.25" customHeight="1" s="41"/>
    <row r="974" ht="14.25" customHeight="1" s="41"/>
    <row r="975" ht="14.25" customHeight="1" s="41"/>
    <row r="976" ht="14.25" customHeight="1" s="41"/>
    <row r="977" ht="14.25" customHeight="1" s="41"/>
    <row r="978" ht="14.25" customHeight="1" s="41"/>
    <row r="979" ht="14.25" customHeight="1" s="41"/>
    <row r="980" ht="14.25" customHeight="1" s="41"/>
    <row r="981" ht="14.25" customHeight="1" s="41"/>
    <row r="982" ht="14.25" customHeight="1" s="41"/>
    <row r="983" ht="14.25" customHeight="1" s="41"/>
    <row r="984" ht="14.25" customHeight="1" s="41"/>
    <row r="985" ht="14.25" customHeight="1" s="41"/>
    <row r="986" ht="14.25" customHeight="1" s="41"/>
    <row r="987" ht="14.25" customHeight="1" s="41"/>
    <row r="988" ht="14.25" customHeight="1" s="41"/>
    <row r="989" ht="14.25" customHeight="1" s="41"/>
    <row r="990" ht="14.25" customHeight="1" s="41"/>
    <row r="991" ht="14.25" customHeight="1" s="41"/>
    <row r="992" ht="14.25" customHeight="1" s="41"/>
    <row r="993" ht="14.25" customHeight="1" s="41"/>
    <row r="994" ht="14.25" customHeight="1" s="41"/>
    <row r="995" ht="14.25" customHeight="1" s="41"/>
    <row r="996" ht="14.25" customHeight="1" s="41"/>
    <row r="997" ht="14.25" customHeight="1" s="41"/>
    <row r="998" ht="14.25" customHeight="1" s="41"/>
    <row r="999" ht="14.25" customHeight="1" s="41"/>
    <row r="1000" ht="14.25" customHeight="1" s="41"/>
  </sheetData>
  <mergeCells count="4">
    <mergeCell ref="B2:H2"/>
    <mergeCell ref="B4:H4"/>
    <mergeCell ref="B5:H5"/>
    <mergeCell ref="B6:H6"/>
  </mergeCell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52.14" customWidth="1" style="41" min="1" max="1"/>
    <col width="7.86" customWidth="1" style="41" min="8" max="26"/>
  </cols>
  <sheetData>
    <row r="1" ht="25.5" customHeight="1" s="41">
      <c r="A1" s="1" t="inlineStr">
        <is>
          <t>チェックリスト — 準備チェック（毎回の通話前）</t>
        </is>
      </c>
    </row>
    <row r="2" ht="14.25" customHeight="1" s="41"/>
    <row r="3" ht="33.75" customHeight="1" s="41">
      <c r="A3" s="6" t="inlineStr">
        <is>
          <t>チェック項目</t>
        </is>
      </c>
      <c r="B3" s="7" t="inlineStr">
        <is>
          <t>Round1-Day2</t>
        </is>
      </c>
      <c r="C3" s="7" t="inlineStr">
        <is>
          <t>Round1-Day3</t>
        </is>
      </c>
      <c r="D3" s="7" t="inlineStr">
        <is>
          <t>Round1-Day4</t>
        </is>
      </c>
      <c r="E3" s="7" t="inlineStr">
        <is>
          <t>Round2-Day2</t>
        </is>
      </c>
      <c r="F3" s="7" t="inlineStr">
        <is>
          <t>Round2-Day3</t>
        </is>
      </c>
      <c r="G3" s="7" t="inlineStr">
        <is>
          <t>Round2-Day4</t>
        </is>
      </c>
    </row>
    <row r="4" ht="30" customHeight="1" s="41">
      <c r="A4" s="32" t="inlineStr">
        <is>
          <t>【家族役】家族側ページに Googleでサインインできた</t>
        </is>
      </c>
      <c r="B4" s="31" t="n"/>
      <c r="C4" s="31" t="n"/>
      <c r="D4" s="31" t="n"/>
      <c r="E4" s="31" t="n"/>
      <c r="F4" s="31" t="n"/>
      <c r="G4" s="31" t="n"/>
    </row>
    <row r="5" ht="30" customHeight="1" s="41">
      <c r="A5" s="32" t="inlineStr">
        <is>
          <t>【家族役】画面左下に「📊ログ」ボタンが見える</t>
        </is>
      </c>
      <c r="B5" s="31" t="n"/>
      <c r="C5" s="31" t="n"/>
      <c r="D5" s="31" t="n"/>
      <c r="E5" s="31" t="n"/>
      <c r="F5" s="31" t="n"/>
      <c r="G5" s="31" t="n"/>
    </row>
    <row r="6" ht="30" customHeight="1" s="41">
      <c r="A6" s="32" t="inlineStr">
        <is>
          <t>【高齢者役】顔が画面に映っている（距離50cmくらい）</t>
        </is>
      </c>
      <c r="B6" s="31" t="n"/>
      <c r="C6" s="31" t="n"/>
      <c r="D6" s="31" t="n"/>
      <c r="E6" s="31" t="n"/>
      <c r="F6" s="31" t="n"/>
      <c r="G6" s="31" t="n"/>
    </row>
    <row r="7" ht="30" customHeight="1" s="41">
      <c r="A7" s="32" t="inlineStr">
        <is>
          <t>【高齢者役】部屋が静か（テレビ消灯）</t>
        </is>
      </c>
      <c r="B7" s="31" t="n"/>
      <c r="C7" s="31" t="n"/>
      <c r="D7" s="31" t="n"/>
      <c r="E7" s="31" t="n"/>
      <c r="F7" s="31" t="n"/>
      <c r="G7" s="31" t="n"/>
    </row>
    <row r="8" ht="30" customHeight="1" s="41">
      <c r="A8" s="32" t="inlineStr">
        <is>
          <t>【家族役】画面録画を開始した</t>
        </is>
      </c>
      <c r="B8" s="31" t="n"/>
      <c r="C8" s="31" t="n"/>
      <c r="D8" s="31" t="n"/>
      <c r="E8" s="31" t="n"/>
      <c r="F8" s="31" t="n"/>
      <c r="G8" s="31" t="n"/>
    </row>
    <row r="9" ht="30" customHeight="1" s="41">
      <c r="A9" s="32" t="inlineStr">
        <is>
          <t>【オペレーター】このチェックリストを開いた</t>
        </is>
      </c>
      <c r="B9" s="31" t="n"/>
      <c r="C9" s="31" t="n"/>
      <c r="D9" s="31" t="n"/>
      <c r="E9" s="31" t="n"/>
      <c r="F9" s="31" t="n"/>
      <c r="G9" s="31" t="n"/>
    </row>
    <row r="10" ht="30" customHeight="1" s="41">
      <c r="A10" s="10" t="inlineStr">
        <is>
          <t>【高齢者役】ノイズゲートをOFFにした（PC本体・イヤホン/マイクの両方。ノイキャンとは別機能）</t>
        </is>
      </c>
      <c r="B10" s="11" t="n"/>
      <c r="C10" s="11" t="n"/>
      <c r="D10" s="11" t="n"/>
      <c r="E10" s="11" t="n"/>
      <c r="F10" s="11" t="n"/>
      <c r="G10" s="11" t="n"/>
    </row>
    <row r="11" ht="15" customHeight="1" s="41">
      <c r="A11" s="12" t="inlineStr">
        <is>
          <t>※ 空欄=未確認。プルダウンから「✓」を選んでください。</t>
        </is>
      </c>
    </row>
    <row r="12" ht="14.25" customHeight="1" s="41"/>
    <row r="13" ht="14.25" customHeight="1" s="41"/>
    <row r="14" ht="14.25" customHeight="1" s="41"/>
    <row r="15" ht="14.25" customHeight="1" s="41"/>
    <row r="16" ht="14.25" customHeight="1" s="41"/>
    <row r="17" ht="14.25" customHeight="1" s="41"/>
    <row r="18" ht="14.25" customHeight="1" s="41"/>
    <row r="19" ht="14.25" customHeight="1" s="41"/>
    <row r="20" ht="14.25" customHeight="1" s="41"/>
    <row r="21" ht="14.25" customHeight="1" s="41"/>
    <row r="22" ht="14.25" customHeight="1" s="41"/>
    <row r="23" ht="14.25" customHeight="1" s="41"/>
    <row r="24" ht="14.25" customHeight="1" s="41"/>
    <row r="25" ht="14.25" customHeight="1" s="41"/>
    <row r="26" ht="14.25" customHeight="1" s="41"/>
    <row r="27" ht="14.25" customHeight="1" s="41"/>
    <row r="28" ht="14.25" customHeight="1" s="41"/>
    <row r="29" ht="14.25" customHeight="1" s="41"/>
    <row r="30" ht="14.25" customHeight="1" s="41"/>
    <row r="31" ht="14.25" customHeight="1" s="41"/>
    <row r="32" ht="14.25" customHeight="1" s="41"/>
    <row r="33" ht="14.25" customHeight="1" s="41"/>
    <row r="34" ht="14.25" customHeight="1" s="41"/>
    <row r="35" ht="14.25" customHeight="1" s="41"/>
    <row r="36" ht="14.25" customHeight="1" s="41"/>
    <row r="37" ht="14.25" customHeight="1" s="41"/>
    <row r="38" ht="14.25" customHeight="1" s="41"/>
    <row r="39" ht="14.25" customHeight="1" s="41"/>
    <row r="40" ht="14.25" customHeight="1" s="41"/>
    <row r="41" ht="14.25" customHeight="1" s="41"/>
    <row r="42" ht="14.25" customHeight="1" s="41"/>
    <row r="43" ht="14.25" customHeight="1" s="41"/>
    <row r="44" ht="14.25" customHeight="1" s="41"/>
    <row r="45" ht="14.25" customHeight="1" s="41"/>
    <row r="46" ht="14.25" customHeight="1" s="41"/>
    <row r="47" ht="14.25" customHeight="1" s="41"/>
    <row r="48" ht="14.25" customHeight="1" s="41"/>
    <row r="49" ht="14.25" customHeight="1" s="41"/>
    <row r="50" ht="14.25" customHeight="1" s="41"/>
    <row r="51" ht="14.25" customHeight="1" s="41"/>
    <row r="52" ht="14.25" customHeight="1" s="41"/>
    <row r="53" ht="14.25" customHeight="1" s="41"/>
    <row r="54" ht="14.25" customHeight="1" s="41"/>
    <row r="55" ht="14.25" customHeight="1" s="41"/>
    <row r="56" ht="14.25" customHeight="1" s="41"/>
    <row r="57" ht="14.25" customHeight="1" s="41"/>
    <row r="58" ht="14.25" customHeight="1" s="41"/>
    <row r="59" ht="14.25" customHeight="1" s="41"/>
    <row r="60" ht="14.25" customHeight="1" s="41"/>
    <row r="61" ht="14.25" customHeight="1" s="41"/>
    <row r="62" ht="14.25" customHeight="1" s="41"/>
    <row r="63" ht="14.25" customHeight="1" s="41"/>
    <row r="64" ht="14.25" customHeight="1" s="41"/>
    <row r="65" ht="14.25" customHeight="1" s="41"/>
    <row r="66" ht="14.25" customHeight="1" s="41"/>
    <row r="67" ht="14.25" customHeight="1" s="41"/>
    <row r="68" ht="14.25" customHeight="1" s="41"/>
    <row r="69" ht="14.25" customHeight="1" s="41"/>
    <row r="70" ht="14.25" customHeight="1" s="41"/>
    <row r="71" ht="14.25" customHeight="1" s="41"/>
    <row r="72" ht="14.25" customHeight="1" s="41"/>
    <row r="73" ht="14.25" customHeight="1" s="41"/>
    <row r="74" ht="14.25" customHeight="1" s="41"/>
    <row r="75" ht="14.25" customHeight="1" s="41"/>
    <row r="76" ht="14.25" customHeight="1" s="41"/>
    <row r="77" ht="14.25" customHeight="1" s="41"/>
    <row r="78" ht="14.25" customHeight="1" s="41"/>
    <row r="79" ht="14.25" customHeight="1" s="41"/>
    <row r="80" ht="14.25" customHeight="1" s="41"/>
    <row r="81" ht="14.25" customHeight="1" s="41"/>
    <row r="82" ht="14.25" customHeight="1" s="41"/>
    <row r="83" ht="14.25" customHeight="1" s="41"/>
    <row r="84" ht="14.25" customHeight="1" s="41"/>
    <row r="85" ht="14.25" customHeight="1" s="41"/>
    <row r="86" ht="14.25" customHeight="1" s="41"/>
    <row r="87" ht="14.25" customHeight="1" s="41"/>
    <row r="88" ht="14.25" customHeight="1" s="41"/>
    <row r="89" ht="14.25" customHeight="1" s="41"/>
    <row r="90" ht="14.25" customHeight="1" s="41"/>
    <row r="91" ht="14.25" customHeight="1" s="41"/>
    <row r="92" ht="14.25" customHeight="1" s="41"/>
    <row r="93" ht="14.25" customHeight="1" s="41"/>
    <row r="94" ht="14.25" customHeight="1" s="41"/>
    <row r="95" ht="14.25" customHeight="1" s="41"/>
    <row r="96" ht="14.25" customHeight="1" s="41"/>
    <row r="97" ht="14.25" customHeight="1" s="41"/>
    <row r="98" ht="14.25" customHeight="1" s="41"/>
    <row r="99" ht="14.25" customHeight="1" s="41"/>
    <row r="100" ht="14.25" customHeight="1" s="41"/>
    <row r="101" ht="14.25" customHeight="1" s="41"/>
    <row r="102" ht="14.25" customHeight="1" s="41"/>
    <row r="103" ht="14.25" customHeight="1" s="41"/>
    <row r="104" ht="14.25" customHeight="1" s="41"/>
    <row r="105" ht="14.25" customHeight="1" s="41"/>
    <row r="106" ht="14.25" customHeight="1" s="41"/>
    <row r="107" ht="14.25" customHeight="1" s="41"/>
    <row r="108" ht="14.25" customHeight="1" s="41"/>
    <row r="109" ht="14.25" customHeight="1" s="41"/>
    <row r="110" ht="14.25" customHeight="1" s="41"/>
    <row r="111" ht="14.25" customHeight="1" s="41"/>
    <row r="112" ht="14.25" customHeight="1" s="41"/>
    <row r="113" ht="14.25" customHeight="1" s="41"/>
    <row r="114" ht="14.25" customHeight="1" s="41"/>
    <row r="115" ht="14.25" customHeight="1" s="41"/>
    <row r="116" ht="14.25" customHeight="1" s="41"/>
    <row r="117" ht="14.25" customHeight="1" s="41"/>
    <row r="118" ht="14.25" customHeight="1" s="41"/>
    <row r="119" ht="14.25" customHeight="1" s="41"/>
    <row r="120" ht="14.25" customHeight="1" s="41"/>
    <row r="121" ht="14.25" customHeight="1" s="41"/>
    <row r="122" ht="14.25" customHeight="1" s="41"/>
    <row r="123" ht="14.25" customHeight="1" s="41"/>
    <row r="124" ht="14.25" customHeight="1" s="41"/>
    <row r="125" ht="14.25" customHeight="1" s="41"/>
    <row r="126" ht="14.25" customHeight="1" s="41"/>
    <row r="127" ht="14.25" customHeight="1" s="41"/>
    <row r="128" ht="14.25" customHeight="1" s="41"/>
    <row r="129" ht="14.25" customHeight="1" s="41"/>
    <row r="130" ht="14.25" customHeight="1" s="41"/>
    <row r="131" ht="14.25" customHeight="1" s="41"/>
    <row r="132" ht="14.25" customHeight="1" s="41"/>
    <row r="133" ht="14.25" customHeight="1" s="41"/>
    <row r="134" ht="14.25" customHeight="1" s="41"/>
    <row r="135" ht="14.25" customHeight="1" s="41"/>
    <row r="136" ht="14.25" customHeight="1" s="41"/>
    <row r="137" ht="14.25" customHeight="1" s="41"/>
    <row r="138" ht="14.25" customHeight="1" s="41"/>
    <row r="139" ht="14.25" customHeight="1" s="41"/>
    <row r="140" ht="14.25" customHeight="1" s="41"/>
    <row r="141" ht="14.25" customHeight="1" s="41"/>
    <row r="142" ht="14.25" customHeight="1" s="41"/>
    <row r="143" ht="14.25" customHeight="1" s="41"/>
    <row r="144" ht="14.25" customHeight="1" s="41"/>
    <row r="145" ht="14.25" customHeight="1" s="41"/>
    <row r="146" ht="14.25" customHeight="1" s="41"/>
    <row r="147" ht="14.25" customHeight="1" s="41"/>
    <row r="148" ht="14.25" customHeight="1" s="41"/>
    <row r="149" ht="14.25" customHeight="1" s="41"/>
    <row r="150" ht="14.25" customHeight="1" s="41"/>
    <row r="151" ht="14.25" customHeight="1" s="41"/>
    <row r="152" ht="14.25" customHeight="1" s="41"/>
    <row r="153" ht="14.25" customHeight="1" s="41"/>
    <row r="154" ht="14.25" customHeight="1" s="41"/>
    <row r="155" ht="14.25" customHeight="1" s="41"/>
    <row r="156" ht="14.25" customHeight="1" s="41"/>
    <row r="157" ht="14.25" customHeight="1" s="41"/>
    <row r="158" ht="14.25" customHeight="1" s="41"/>
    <row r="159" ht="14.25" customHeight="1" s="41"/>
    <row r="160" ht="14.25" customHeight="1" s="41"/>
    <row r="161" ht="14.25" customHeight="1" s="41"/>
    <row r="162" ht="14.25" customHeight="1" s="41"/>
    <row r="163" ht="14.25" customHeight="1" s="41"/>
    <row r="164" ht="14.25" customHeight="1" s="41"/>
    <row r="165" ht="14.25" customHeight="1" s="41"/>
    <row r="166" ht="14.25" customHeight="1" s="41"/>
    <row r="167" ht="14.25" customHeight="1" s="41"/>
    <row r="168" ht="14.25" customHeight="1" s="41"/>
    <row r="169" ht="14.25" customHeight="1" s="41"/>
    <row r="170" ht="14.25" customHeight="1" s="41"/>
    <row r="171" ht="14.25" customHeight="1" s="41"/>
    <row r="172" ht="14.25" customHeight="1" s="41"/>
    <row r="173" ht="14.25" customHeight="1" s="41"/>
    <row r="174" ht="14.25" customHeight="1" s="41"/>
    <row r="175" ht="14.25" customHeight="1" s="41"/>
    <row r="176" ht="14.25" customHeight="1" s="41"/>
    <row r="177" ht="14.25" customHeight="1" s="41"/>
    <row r="178" ht="14.25" customHeight="1" s="41"/>
    <row r="179" ht="14.25" customHeight="1" s="41"/>
    <row r="180" ht="14.25" customHeight="1" s="41"/>
    <row r="181" ht="14.25" customHeight="1" s="41"/>
    <row r="182" ht="14.25" customHeight="1" s="41"/>
    <row r="183" ht="14.25" customHeight="1" s="41"/>
    <row r="184" ht="14.25" customHeight="1" s="41"/>
    <row r="185" ht="14.25" customHeight="1" s="41"/>
    <row r="186" ht="14.25" customHeight="1" s="41"/>
    <row r="187" ht="14.25" customHeight="1" s="41"/>
    <row r="188" ht="14.25" customHeight="1" s="41"/>
    <row r="189" ht="14.25" customHeight="1" s="41"/>
    <row r="190" ht="14.25" customHeight="1" s="41"/>
    <row r="191" ht="14.25" customHeight="1" s="41"/>
    <row r="192" ht="14.25" customHeight="1" s="41"/>
    <row r="193" ht="14.25" customHeight="1" s="41"/>
    <row r="194" ht="14.25" customHeight="1" s="41"/>
    <row r="195" ht="14.25" customHeight="1" s="41"/>
    <row r="196" ht="14.25" customHeight="1" s="41"/>
    <row r="197" ht="14.25" customHeight="1" s="41"/>
    <row r="198" ht="14.25" customHeight="1" s="41"/>
    <row r="199" ht="14.25" customHeight="1" s="41"/>
    <row r="200" ht="14.25" customHeight="1" s="41"/>
    <row r="201" ht="14.25" customHeight="1" s="41"/>
    <row r="202" ht="14.25" customHeight="1" s="41"/>
    <row r="203" ht="14.25" customHeight="1" s="41"/>
    <row r="204" ht="14.25" customHeight="1" s="41"/>
    <row r="205" ht="14.25" customHeight="1" s="41"/>
    <row r="206" ht="14.25" customHeight="1" s="41"/>
    <row r="207" ht="14.25" customHeight="1" s="41"/>
    <row r="208" ht="14.25" customHeight="1" s="41"/>
    <row r="209" ht="14.25" customHeight="1" s="41"/>
    <row r="210" ht="14.25" customHeight="1" s="41"/>
    <row r="211" ht="14.25" customHeight="1" s="41"/>
    <row r="212" ht="14.25" customHeight="1" s="41"/>
    <row r="213" ht="14.25" customHeight="1" s="41"/>
    <row r="214" ht="14.25" customHeight="1" s="41"/>
    <row r="215" ht="14.25" customHeight="1" s="41"/>
    <row r="216" ht="14.25" customHeight="1" s="41"/>
    <row r="217" ht="14.25" customHeight="1" s="41"/>
    <row r="218" ht="14.25" customHeight="1" s="41"/>
    <row r="219" ht="14.25" customHeight="1" s="41"/>
    <row r="220" ht="14.25" customHeight="1" s="41"/>
    <row r="221" ht="14.25" customHeight="1" s="41"/>
    <row r="222" ht="14.25" customHeight="1" s="41"/>
    <row r="223" ht="14.25" customHeight="1" s="41"/>
    <row r="224" ht="14.25" customHeight="1" s="41"/>
    <row r="225" ht="14.25" customHeight="1" s="41"/>
    <row r="226" ht="14.25" customHeight="1" s="41"/>
    <row r="227" ht="14.25" customHeight="1" s="41"/>
    <row r="228" ht="14.25" customHeight="1" s="41"/>
    <row r="229" ht="14.25" customHeight="1" s="41"/>
    <row r="230" ht="14.25" customHeight="1" s="41"/>
    <row r="231" ht="14.25" customHeight="1" s="41"/>
    <row r="232" ht="14.25" customHeight="1" s="41"/>
    <row r="233" ht="14.25" customHeight="1" s="41"/>
    <row r="234" ht="14.25" customHeight="1" s="41"/>
    <row r="235" ht="14.25" customHeight="1" s="41"/>
    <row r="236" ht="14.25" customHeight="1" s="41"/>
    <row r="237" ht="14.25" customHeight="1" s="41"/>
    <row r="238" ht="14.25" customHeight="1" s="41"/>
    <row r="239" ht="14.25" customHeight="1" s="41"/>
    <row r="240" ht="14.25" customHeight="1" s="41"/>
    <row r="241" ht="14.25" customHeight="1" s="41"/>
    <row r="242" ht="14.25" customHeight="1" s="41"/>
    <row r="243" ht="14.25" customHeight="1" s="41"/>
    <row r="244" ht="14.25" customHeight="1" s="41"/>
    <row r="245" ht="14.25" customHeight="1" s="41"/>
    <row r="246" ht="14.25" customHeight="1" s="41"/>
    <row r="247" ht="14.25" customHeight="1" s="41"/>
    <row r="248" ht="14.25" customHeight="1" s="41"/>
    <row r="249" ht="14.25" customHeight="1" s="41"/>
    <row r="250" ht="14.25" customHeight="1" s="41"/>
    <row r="251" ht="14.25" customHeight="1" s="41"/>
    <row r="252" ht="14.25" customHeight="1" s="41"/>
    <row r="253" ht="14.25" customHeight="1" s="41"/>
    <row r="254" ht="14.25" customHeight="1" s="41"/>
    <row r="255" ht="14.25" customHeight="1" s="41"/>
    <row r="256" ht="14.25" customHeight="1" s="41"/>
    <row r="257" ht="14.25" customHeight="1" s="41"/>
    <row r="258" ht="14.25" customHeight="1" s="41"/>
    <row r="259" ht="14.25" customHeight="1" s="41"/>
    <row r="260" ht="14.25" customHeight="1" s="41"/>
    <row r="261" ht="14.25" customHeight="1" s="41"/>
    <row r="262" ht="14.25" customHeight="1" s="41"/>
    <row r="263" ht="14.25" customHeight="1" s="41"/>
    <row r="264" ht="14.25" customHeight="1" s="41"/>
    <row r="265" ht="14.25" customHeight="1" s="41"/>
    <row r="266" ht="14.25" customHeight="1" s="41"/>
    <row r="267" ht="14.25" customHeight="1" s="41"/>
    <row r="268" ht="14.25" customHeight="1" s="41"/>
    <row r="269" ht="14.25" customHeight="1" s="41"/>
    <row r="270" ht="14.25" customHeight="1" s="41"/>
    <row r="271" ht="14.25" customHeight="1" s="41"/>
    <row r="272" ht="14.25" customHeight="1" s="41"/>
    <row r="273" ht="14.25" customHeight="1" s="41"/>
    <row r="274" ht="14.25" customHeight="1" s="41"/>
    <row r="275" ht="14.25" customHeight="1" s="41"/>
    <row r="276" ht="14.25" customHeight="1" s="41"/>
    <row r="277" ht="14.25" customHeight="1" s="41"/>
    <row r="278" ht="14.25" customHeight="1" s="41"/>
    <row r="279" ht="14.25" customHeight="1" s="41"/>
    <row r="280" ht="14.25" customHeight="1" s="41"/>
    <row r="281" ht="14.25" customHeight="1" s="41"/>
    <row r="282" ht="14.25" customHeight="1" s="41"/>
    <row r="283" ht="14.25" customHeight="1" s="41"/>
    <row r="284" ht="14.25" customHeight="1" s="41"/>
    <row r="285" ht="14.25" customHeight="1" s="41"/>
    <row r="286" ht="14.25" customHeight="1" s="41"/>
    <row r="287" ht="14.25" customHeight="1" s="41"/>
    <row r="288" ht="14.25" customHeight="1" s="41"/>
    <row r="289" ht="14.25" customHeight="1" s="41"/>
    <row r="290" ht="14.25" customHeight="1" s="41"/>
    <row r="291" ht="14.25" customHeight="1" s="41"/>
    <row r="292" ht="14.25" customHeight="1" s="41"/>
    <row r="293" ht="14.25" customHeight="1" s="41"/>
    <row r="294" ht="14.25" customHeight="1" s="41"/>
    <row r="295" ht="14.25" customHeight="1" s="41"/>
    <row r="296" ht="14.25" customHeight="1" s="41"/>
    <row r="297" ht="14.25" customHeight="1" s="41"/>
    <row r="298" ht="14.25" customHeight="1" s="41"/>
    <row r="299" ht="14.25" customHeight="1" s="41"/>
    <row r="300" ht="14.25" customHeight="1" s="41"/>
    <row r="301" ht="14.25" customHeight="1" s="41"/>
    <row r="302" ht="14.25" customHeight="1" s="41"/>
    <row r="303" ht="14.25" customHeight="1" s="41"/>
    <row r="304" ht="14.25" customHeight="1" s="41"/>
    <row r="305" ht="14.25" customHeight="1" s="41"/>
    <row r="306" ht="14.25" customHeight="1" s="41"/>
    <row r="307" ht="14.25" customHeight="1" s="41"/>
    <row r="308" ht="14.25" customHeight="1" s="41"/>
    <row r="309" ht="14.25" customHeight="1" s="41"/>
    <row r="310" ht="14.25" customHeight="1" s="41"/>
    <row r="311" ht="14.25" customHeight="1" s="41"/>
    <row r="312" ht="14.25" customHeight="1" s="41"/>
    <row r="313" ht="14.25" customHeight="1" s="41"/>
    <row r="314" ht="14.25" customHeight="1" s="41"/>
    <row r="315" ht="14.25" customHeight="1" s="41"/>
    <row r="316" ht="14.25" customHeight="1" s="41"/>
    <row r="317" ht="14.25" customHeight="1" s="41"/>
    <row r="318" ht="14.25" customHeight="1" s="41"/>
    <row r="319" ht="14.25" customHeight="1" s="41"/>
    <row r="320" ht="14.25" customHeight="1" s="41"/>
    <row r="321" ht="14.25" customHeight="1" s="41"/>
    <row r="322" ht="14.25" customHeight="1" s="41"/>
    <row r="323" ht="14.25" customHeight="1" s="41"/>
    <row r="324" ht="14.25" customHeight="1" s="41"/>
    <row r="325" ht="14.25" customHeight="1" s="41"/>
    <row r="326" ht="14.25" customHeight="1" s="41"/>
    <row r="327" ht="14.25" customHeight="1" s="41"/>
    <row r="328" ht="14.25" customHeight="1" s="41"/>
    <row r="329" ht="14.25" customHeight="1" s="41"/>
    <row r="330" ht="14.25" customHeight="1" s="41"/>
    <row r="331" ht="14.25" customHeight="1" s="41"/>
    <row r="332" ht="14.25" customHeight="1" s="41"/>
    <row r="333" ht="14.25" customHeight="1" s="41"/>
    <row r="334" ht="14.25" customHeight="1" s="41"/>
    <row r="335" ht="14.25" customHeight="1" s="41"/>
    <row r="336" ht="14.25" customHeight="1" s="41"/>
    <row r="337" ht="14.25" customHeight="1" s="41"/>
    <row r="338" ht="14.25" customHeight="1" s="41"/>
    <row r="339" ht="14.25" customHeight="1" s="41"/>
    <row r="340" ht="14.25" customHeight="1" s="41"/>
    <row r="341" ht="14.25" customHeight="1" s="41"/>
    <row r="342" ht="14.25" customHeight="1" s="41"/>
    <row r="343" ht="14.25" customHeight="1" s="41"/>
    <row r="344" ht="14.25" customHeight="1" s="41"/>
    <row r="345" ht="14.25" customHeight="1" s="41"/>
    <row r="346" ht="14.25" customHeight="1" s="41"/>
    <row r="347" ht="14.25" customHeight="1" s="41"/>
    <row r="348" ht="14.25" customHeight="1" s="41"/>
    <row r="349" ht="14.25" customHeight="1" s="41"/>
    <row r="350" ht="14.25" customHeight="1" s="41"/>
    <row r="351" ht="14.25" customHeight="1" s="41"/>
    <row r="352" ht="14.25" customHeight="1" s="41"/>
    <row r="353" ht="14.25" customHeight="1" s="41"/>
    <row r="354" ht="14.25" customHeight="1" s="41"/>
    <row r="355" ht="14.25" customHeight="1" s="41"/>
    <row r="356" ht="14.25" customHeight="1" s="41"/>
    <row r="357" ht="14.25" customHeight="1" s="41"/>
    <row r="358" ht="14.25" customHeight="1" s="41"/>
    <row r="359" ht="14.25" customHeight="1" s="41"/>
    <row r="360" ht="14.25" customHeight="1" s="41"/>
    <row r="361" ht="14.25" customHeight="1" s="41"/>
    <row r="362" ht="14.25" customHeight="1" s="41"/>
    <row r="363" ht="14.25" customHeight="1" s="41"/>
    <row r="364" ht="14.25" customHeight="1" s="41"/>
    <row r="365" ht="14.25" customHeight="1" s="41"/>
    <row r="366" ht="14.25" customHeight="1" s="41"/>
    <row r="367" ht="14.25" customHeight="1" s="41"/>
    <row r="368" ht="14.25" customHeight="1" s="41"/>
    <row r="369" ht="14.25" customHeight="1" s="41"/>
    <row r="370" ht="14.25" customHeight="1" s="41"/>
    <row r="371" ht="14.25" customHeight="1" s="41"/>
    <row r="372" ht="14.25" customHeight="1" s="41"/>
    <row r="373" ht="14.25" customHeight="1" s="41"/>
    <row r="374" ht="14.25" customHeight="1" s="41"/>
    <row r="375" ht="14.25" customHeight="1" s="41"/>
    <row r="376" ht="14.25" customHeight="1" s="41"/>
    <row r="377" ht="14.25" customHeight="1" s="41"/>
    <row r="378" ht="14.25" customHeight="1" s="41"/>
    <row r="379" ht="14.25" customHeight="1" s="41"/>
    <row r="380" ht="14.25" customHeight="1" s="41"/>
    <row r="381" ht="14.25" customHeight="1" s="41"/>
    <row r="382" ht="14.25" customHeight="1" s="41"/>
    <row r="383" ht="14.25" customHeight="1" s="41"/>
    <row r="384" ht="14.25" customHeight="1" s="41"/>
    <row r="385" ht="14.25" customHeight="1" s="41"/>
    <row r="386" ht="14.25" customHeight="1" s="41"/>
    <row r="387" ht="14.25" customHeight="1" s="41"/>
    <row r="388" ht="14.25" customHeight="1" s="41"/>
    <row r="389" ht="14.25" customHeight="1" s="41"/>
    <row r="390" ht="14.25" customHeight="1" s="41"/>
    <row r="391" ht="14.25" customHeight="1" s="41"/>
    <row r="392" ht="14.25" customHeight="1" s="41"/>
    <row r="393" ht="14.25" customHeight="1" s="41"/>
    <row r="394" ht="14.25" customHeight="1" s="41"/>
    <row r="395" ht="14.25" customHeight="1" s="41"/>
    <row r="396" ht="14.25" customHeight="1" s="41"/>
    <row r="397" ht="14.25" customHeight="1" s="41"/>
    <row r="398" ht="14.25" customHeight="1" s="41"/>
    <row r="399" ht="14.25" customHeight="1" s="41"/>
    <row r="400" ht="14.25" customHeight="1" s="41"/>
    <row r="401" ht="14.25" customHeight="1" s="41"/>
    <row r="402" ht="14.25" customHeight="1" s="41"/>
    <row r="403" ht="14.25" customHeight="1" s="41"/>
    <row r="404" ht="14.25" customHeight="1" s="41"/>
    <row r="405" ht="14.25" customHeight="1" s="41"/>
    <row r="406" ht="14.25" customHeight="1" s="41"/>
    <row r="407" ht="14.25" customHeight="1" s="41"/>
    <row r="408" ht="14.25" customHeight="1" s="41"/>
    <row r="409" ht="14.25" customHeight="1" s="41"/>
    <row r="410" ht="14.25" customHeight="1" s="41"/>
    <row r="411" ht="14.25" customHeight="1" s="41"/>
    <row r="412" ht="14.25" customHeight="1" s="41"/>
    <row r="413" ht="14.25" customHeight="1" s="41"/>
    <row r="414" ht="14.25" customHeight="1" s="41"/>
    <row r="415" ht="14.25" customHeight="1" s="41"/>
    <row r="416" ht="14.25" customHeight="1" s="41"/>
    <row r="417" ht="14.25" customHeight="1" s="41"/>
    <row r="418" ht="14.25" customHeight="1" s="41"/>
    <row r="419" ht="14.25" customHeight="1" s="41"/>
    <row r="420" ht="14.25" customHeight="1" s="41"/>
    <row r="421" ht="14.25" customHeight="1" s="41"/>
    <row r="422" ht="14.25" customHeight="1" s="41"/>
    <row r="423" ht="14.25" customHeight="1" s="41"/>
    <row r="424" ht="14.25" customHeight="1" s="41"/>
    <row r="425" ht="14.25" customHeight="1" s="41"/>
    <row r="426" ht="14.25" customHeight="1" s="41"/>
    <row r="427" ht="14.25" customHeight="1" s="41"/>
    <row r="428" ht="14.25" customHeight="1" s="41"/>
    <row r="429" ht="14.25" customHeight="1" s="41"/>
    <row r="430" ht="14.25" customHeight="1" s="41"/>
    <row r="431" ht="14.25" customHeight="1" s="41"/>
    <row r="432" ht="14.25" customHeight="1" s="41"/>
    <row r="433" ht="14.25" customHeight="1" s="41"/>
    <row r="434" ht="14.25" customHeight="1" s="41"/>
    <row r="435" ht="14.25" customHeight="1" s="41"/>
    <row r="436" ht="14.25" customHeight="1" s="41"/>
    <row r="437" ht="14.25" customHeight="1" s="41"/>
    <row r="438" ht="14.25" customHeight="1" s="41"/>
    <row r="439" ht="14.25" customHeight="1" s="41"/>
    <row r="440" ht="14.25" customHeight="1" s="41"/>
    <row r="441" ht="14.25" customHeight="1" s="41"/>
    <row r="442" ht="14.25" customHeight="1" s="41"/>
    <row r="443" ht="14.25" customHeight="1" s="41"/>
    <row r="444" ht="14.25" customHeight="1" s="41"/>
    <row r="445" ht="14.25" customHeight="1" s="41"/>
    <row r="446" ht="14.25" customHeight="1" s="41"/>
    <row r="447" ht="14.25" customHeight="1" s="41"/>
    <row r="448" ht="14.25" customHeight="1" s="41"/>
    <row r="449" ht="14.25" customHeight="1" s="41"/>
    <row r="450" ht="14.25" customHeight="1" s="41"/>
    <row r="451" ht="14.25" customHeight="1" s="41"/>
    <row r="452" ht="14.25" customHeight="1" s="41"/>
    <row r="453" ht="14.25" customHeight="1" s="41"/>
    <row r="454" ht="14.25" customHeight="1" s="41"/>
    <row r="455" ht="14.25" customHeight="1" s="41"/>
    <row r="456" ht="14.25" customHeight="1" s="41"/>
    <row r="457" ht="14.25" customHeight="1" s="41"/>
    <row r="458" ht="14.25" customHeight="1" s="41"/>
    <row r="459" ht="14.25" customHeight="1" s="41"/>
    <row r="460" ht="14.25" customHeight="1" s="41"/>
    <row r="461" ht="14.25" customHeight="1" s="41"/>
    <row r="462" ht="14.25" customHeight="1" s="41"/>
    <row r="463" ht="14.25" customHeight="1" s="41"/>
    <row r="464" ht="14.25" customHeight="1" s="41"/>
    <row r="465" ht="14.25" customHeight="1" s="41"/>
    <row r="466" ht="14.25" customHeight="1" s="41"/>
    <row r="467" ht="14.25" customHeight="1" s="41"/>
    <row r="468" ht="14.25" customHeight="1" s="41"/>
    <row r="469" ht="14.25" customHeight="1" s="41"/>
    <row r="470" ht="14.25" customHeight="1" s="41"/>
    <row r="471" ht="14.25" customHeight="1" s="41"/>
    <row r="472" ht="14.25" customHeight="1" s="41"/>
    <row r="473" ht="14.25" customHeight="1" s="41"/>
    <row r="474" ht="14.25" customHeight="1" s="41"/>
    <row r="475" ht="14.25" customHeight="1" s="41"/>
    <row r="476" ht="14.25" customHeight="1" s="41"/>
    <row r="477" ht="14.25" customHeight="1" s="41"/>
    <row r="478" ht="14.25" customHeight="1" s="41"/>
    <row r="479" ht="14.25" customHeight="1" s="41"/>
    <row r="480" ht="14.25" customHeight="1" s="41"/>
    <row r="481" ht="14.25" customHeight="1" s="41"/>
    <row r="482" ht="14.25" customHeight="1" s="41"/>
    <row r="483" ht="14.25" customHeight="1" s="41"/>
    <row r="484" ht="14.25" customHeight="1" s="41"/>
    <row r="485" ht="14.25" customHeight="1" s="41"/>
    <row r="486" ht="14.25" customHeight="1" s="41"/>
    <row r="487" ht="14.25" customHeight="1" s="41"/>
    <row r="488" ht="14.25" customHeight="1" s="41"/>
    <row r="489" ht="14.25" customHeight="1" s="41"/>
    <row r="490" ht="14.25" customHeight="1" s="41"/>
    <row r="491" ht="14.25" customHeight="1" s="41"/>
    <row r="492" ht="14.25" customHeight="1" s="41"/>
    <row r="493" ht="14.25" customHeight="1" s="41"/>
    <row r="494" ht="14.25" customHeight="1" s="41"/>
    <row r="495" ht="14.25" customHeight="1" s="41"/>
    <row r="496" ht="14.25" customHeight="1" s="41"/>
    <row r="497" ht="14.25" customHeight="1" s="41"/>
    <row r="498" ht="14.25" customHeight="1" s="41"/>
    <row r="499" ht="14.25" customHeight="1" s="41"/>
    <row r="500" ht="14.25" customHeight="1" s="41"/>
    <row r="501" ht="14.25" customHeight="1" s="41"/>
    <row r="502" ht="14.25" customHeight="1" s="41"/>
    <row r="503" ht="14.25" customHeight="1" s="41"/>
    <row r="504" ht="14.25" customHeight="1" s="41"/>
    <row r="505" ht="14.25" customHeight="1" s="41"/>
    <row r="506" ht="14.25" customHeight="1" s="41"/>
    <row r="507" ht="14.25" customHeight="1" s="41"/>
    <row r="508" ht="14.25" customHeight="1" s="41"/>
    <row r="509" ht="14.25" customHeight="1" s="41"/>
    <row r="510" ht="14.25" customHeight="1" s="41"/>
    <row r="511" ht="14.25" customHeight="1" s="41"/>
    <row r="512" ht="14.25" customHeight="1" s="41"/>
    <row r="513" ht="14.25" customHeight="1" s="41"/>
    <row r="514" ht="14.25" customHeight="1" s="41"/>
    <row r="515" ht="14.25" customHeight="1" s="41"/>
    <row r="516" ht="14.25" customHeight="1" s="41"/>
    <row r="517" ht="14.25" customHeight="1" s="41"/>
    <row r="518" ht="14.25" customHeight="1" s="41"/>
    <row r="519" ht="14.25" customHeight="1" s="41"/>
    <row r="520" ht="14.25" customHeight="1" s="41"/>
    <row r="521" ht="14.25" customHeight="1" s="41"/>
    <row r="522" ht="14.25" customHeight="1" s="41"/>
    <row r="523" ht="14.25" customHeight="1" s="41"/>
    <row r="524" ht="14.25" customHeight="1" s="41"/>
    <row r="525" ht="14.25" customHeight="1" s="41"/>
    <row r="526" ht="14.25" customHeight="1" s="41"/>
    <row r="527" ht="14.25" customHeight="1" s="41"/>
    <row r="528" ht="14.25" customHeight="1" s="41"/>
    <row r="529" ht="14.25" customHeight="1" s="41"/>
    <row r="530" ht="14.25" customHeight="1" s="41"/>
    <row r="531" ht="14.25" customHeight="1" s="41"/>
    <row r="532" ht="14.25" customHeight="1" s="41"/>
    <row r="533" ht="14.25" customHeight="1" s="41"/>
    <row r="534" ht="14.25" customHeight="1" s="41"/>
    <row r="535" ht="14.25" customHeight="1" s="41"/>
    <row r="536" ht="14.25" customHeight="1" s="41"/>
    <row r="537" ht="14.25" customHeight="1" s="41"/>
    <row r="538" ht="14.25" customHeight="1" s="41"/>
    <row r="539" ht="14.25" customHeight="1" s="41"/>
    <row r="540" ht="14.25" customHeight="1" s="41"/>
    <row r="541" ht="14.25" customHeight="1" s="41"/>
    <row r="542" ht="14.25" customHeight="1" s="41"/>
    <row r="543" ht="14.25" customHeight="1" s="41"/>
    <row r="544" ht="14.25" customHeight="1" s="41"/>
    <row r="545" ht="14.25" customHeight="1" s="41"/>
    <row r="546" ht="14.25" customHeight="1" s="41"/>
    <row r="547" ht="14.25" customHeight="1" s="41"/>
    <row r="548" ht="14.25" customHeight="1" s="41"/>
    <row r="549" ht="14.25" customHeight="1" s="41"/>
    <row r="550" ht="14.25" customHeight="1" s="41"/>
    <row r="551" ht="14.25" customHeight="1" s="41"/>
    <row r="552" ht="14.25" customHeight="1" s="41"/>
    <row r="553" ht="14.25" customHeight="1" s="41"/>
    <row r="554" ht="14.25" customHeight="1" s="41"/>
    <row r="555" ht="14.25" customHeight="1" s="41"/>
    <row r="556" ht="14.25" customHeight="1" s="41"/>
    <row r="557" ht="14.25" customHeight="1" s="41"/>
    <row r="558" ht="14.25" customHeight="1" s="41"/>
    <row r="559" ht="14.25" customHeight="1" s="41"/>
    <row r="560" ht="14.25" customHeight="1" s="41"/>
    <row r="561" ht="14.25" customHeight="1" s="41"/>
    <row r="562" ht="14.25" customHeight="1" s="41"/>
    <row r="563" ht="14.25" customHeight="1" s="41"/>
    <row r="564" ht="14.25" customHeight="1" s="41"/>
    <row r="565" ht="14.25" customHeight="1" s="41"/>
    <row r="566" ht="14.25" customHeight="1" s="41"/>
    <row r="567" ht="14.25" customHeight="1" s="41"/>
    <row r="568" ht="14.25" customHeight="1" s="41"/>
    <row r="569" ht="14.25" customHeight="1" s="41"/>
    <row r="570" ht="14.25" customHeight="1" s="41"/>
    <row r="571" ht="14.25" customHeight="1" s="41"/>
    <row r="572" ht="14.25" customHeight="1" s="41"/>
    <row r="573" ht="14.25" customHeight="1" s="41"/>
    <row r="574" ht="14.25" customHeight="1" s="41"/>
    <row r="575" ht="14.25" customHeight="1" s="41"/>
    <row r="576" ht="14.25" customHeight="1" s="41"/>
    <row r="577" ht="14.25" customHeight="1" s="41"/>
    <row r="578" ht="14.25" customHeight="1" s="41"/>
    <row r="579" ht="14.25" customHeight="1" s="41"/>
    <row r="580" ht="14.25" customHeight="1" s="41"/>
    <row r="581" ht="14.25" customHeight="1" s="41"/>
    <row r="582" ht="14.25" customHeight="1" s="41"/>
    <row r="583" ht="14.25" customHeight="1" s="41"/>
    <row r="584" ht="14.25" customHeight="1" s="41"/>
    <row r="585" ht="14.25" customHeight="1" s="41"/>
    <row r="586" ht="14.25" customHeight="1" s="41"/>
    <row r="587" ht="14.25" customHeight="1" s="41"/>
    <row r="588" ht="14.25" customHeight="1" s="41"/>
    <row r="589" ht="14.25" customHeight="1" s="41"/>
    <row r="590" ht="14.25" customHeight="1" s="41"/>
    <row r="591" ht="14.25" customHeight="1" s="41"/>
    <row r="592" ht="14.25" customHeight="1" s="41"/>
    <row r="593" ht="14.25" customHeight="1" s="41"/>
    <row r="594" ht="14.25" customHeight="1" s="41"/>
    <row r="595" ht="14.25" customHeight="1" s="41"/>
    <row r="596" ht="14.25" customHeight="1" s="41"/>
    <row r="597" ht="14.25" customHeight="1" s="41"/>
    <row r="598" ht="14.25" customHeight="1" s="41"/>
    <row r="599" ht="14.25" customHeight="1" s="41"/>
    <row r="600" ht="14.25" customHeight="1" s="41"/>
    <row r="601" ht="14.25" customHeight="1" s="41"/>
    <row r="602" ht="14.25" customHeight="1" s="41"/>
    <row r="603" ht="14.25" customHeight="1" s="41"/>
    <row r="604" ht="14.25" customHeight="1" s="41"/>
    <row r="605" ht="14.25" customHeight="1" s="41"/>
    <row r="606" ht="14.25" customHeight="1" s="41"/>
    <row r="607" ht="14.25" customHeight="1" s="41"/>
    <row r="608" ht="14.25" customHeight="1" s="41"/>
    <row r="609" ht="14.25" customHeight="1" s="41"/>
    <row r="610" ht="14.25" customHeight="1" s="41"/>
    <row r="611" ht="14.25" customHeight="1" s="41"/>
    <row r="612" ht="14.25" customHeight="1" s="41"/>
    <row r="613" ht="14.25" customHeight="1" s="41"/>
    <row r="614" ht="14.25" customHeight="1" s="41"/>
    <row r="615" ht="14.25" customHeight="1" s="41"/>
    <row r="616" ht="14.25" customHeight="1" s="41"/>
    <row r="617" ht="14.25" customHeight="1" s="41"/>
    <row r="618" ht="14.25" customHeight="1" s="41"/>
    <row r="619" ht="14.25" customHeight="1" s="41"/>
    <row r="620" ht="14.25" customHeight="1" s="41"/>
    <row r="621" ht="14.25" customHeight="1" s="41"/>
    <row r="622" ht="14.25" customHeight="1" s="41"/>
    <row r="623" ht="14.25" customHeight="1" s="41"/>
    <row r="624" ht="14.25" customHeight="1" s="41"/>
    <row r="625" ht="14.25" customHeight="1" s="41"/>
    <row r="626" ht="14.25" customHeight="1" s="41"/>
    <row r="627" ht="14.25" customHeight="1" s="41"/>
    <row r="628" ht="14.25" customHeight="1" s="41"/>
    <row r="629" ht="14.25" customHeight="1" s="41"/>
    <row r="630" ht="14.25" customHeight="1" s="41"/>
    <row r="631" ht="14.25" customHeight="1" s="41"/>
    <row r="632" ht="14.25" customHeight="1" s="41"/>
    <row r="633" ht="14.25" customHeight="1" s="41"/>
    <row r="634" ht="14.25" customHeight="1" s="41"/>
    <row r="635" ht="14.25" customHeight="1" s="41"/>
    <row r="636" ht="14.25" customHeight="1" s="41"/>
    <row r="637" ht="14.25" customHeight="1" s="41"/>
    <row r="638" ht="14.25" customHeight="1" s="41"/>
    <row r="639" ht="14.25" customHeight="1" s="41"/>
    <row r="640" ht="14.25" customHeight="1" s="41"/>
    <row r="641" ht="14.25" customHeight="1" s="41"/>
    <row r="642" ht="14.25" customHeight="1" s="41"/>
    <row r="643" ht="14.25" customHeight="1" s="41"/>
    <row r="644" ht="14.25" customHeight="1" s="41"/>
    <row r="645" ht="14.25" customHeight="1" s="41"/>
    <row r="646" ht="14.25" customHeight="1" s="41"/>
    <row r="647" ht="14.25" customHeight="1" s="41"/>
    <row r="648" ht="14.25" customHeight="1" s="41"/>
    <row r="649" ht="14.25" customHeight="1" s="41"/>
    <row r="650" ht="14.25" customHeight="1" s="41"/>
    <row r="651" ht="14.25" customHeight="1" s="41"/>
    <row r="652" ht="14.25" customHeight="1" s="41"/>
    <row r="653" ht="14.25" customHeight="1" s="41"/>
    <row r="654" ht="14.25" customHeight="1" s="41"/>
    <row r="655" ht="14.25" customHeight="1" s="41"/>
    <row r="656" ht="14.25" customHeight="1" s="41"/>
    <row r="657" ht="14.25" customHeight="1" s="41"/>
    <row r="658" ht="14.25" customHeight="1" s="41"/>
    <row r="659" ht="14.25" customHeight="1" s="41"/>
    <row r="660" ht="14.25" customHeight="1" s="41"/>
    <row r="661" ht="14.25" customHeight="1" s="41"/>
    <row r="662" ht="14.25" customHeight="1" s="41"/>
    <row r="663" ht="14.25" customHeight="1" s="41"/>
    <row r="664" ht="14.25" customHeight="1" s="41"/>
    <row r="665" ht="14.25" customHeight="1" s="41"/>
    <row r="666" ht="14.25" customHeight="1" s="41"/>
    <row r="667" ht="14.25" customHeight="1" s="41"/>
    <row r="668" ht="14.25" customHeight="1" s="41"/>
    <row r="669" ht="14.25" customHeight="1" s="41"/>
    <row r="670" ht="14.25" customHeight="1" s="41"/>
    <row r="671" ht="14.25" customHeight="1" s="41"/>
    <row r="672" ht="14.25" customHeight="1" s="41"/>
    <row r="673" ht="14.25" customHeight="1" s="41"/>
    <row r="674" ht="14.25" customHeight="1" s="41"/>
    <row r="675" ht="14.25" customHeight="1" s="41"/>
    <row r="676" ht="14.25" customHeight="1" s="41"/>
    <row r="677" ht="14.25" customHeight="1" s="41"/>
    <row r="678" ht="14.25" customHeight="1" s="41"/>
    <row r="679" ht="14.25" customHeight="1" s="41"/>
    <row r="680" ht="14.25" customHeight="1" s="41"/>
    <row r="681" ht="14.25" customHeight="1" s="41"/>
    <row r="682" ht="14.25" customHeight="1" s="41"/>
    <row r="683" ht="14.25" customHeight="1" s="41"/>
    <row r="684" ht="14.25" customHeight="1" s="41"/>
    <row r="685" ht="14.25" customHeight="1" s="41"/>
    <row r="686" ht="14.25" customHeight="1" s="41"/>
    <row r="687" ht="14.25" customHeight="1" s="41"/>
    <row r="688" ht="14.25" customHeight="1" s="41"/>
    <row r="689" ht="14.25" customHeight="1" s="41"/>
    <row r="690" ht="14.25" customHeight="1" s="41"/>
    <row r="691" ht="14.25" customHeight="1" s="41"/>
    <row r="692" ht="14.25" customHeight="1" s="41"/>
    <row r="693" ht="14.25" customHeight="1" s="41"/>
    <row r="694" ht="14.25" customHeight="1" s="41"/>
    <row r="695" ht="14.25" customHeight="1" s="41"/>
    <row r="696" ht="14.25" customHeight="1" s="41"/>
    <row r="697" ht="14.25" customHeight="1" s="41"/>
    <row r="698" ht="14.25" customHeight="1" s="41"/>
    <row r="699" ht="14.25" customHeight="1" s="41"/>
    <row r="700" ht="14.25" customHeight="1" s="41"/>
    <row r="701" ht="14.25" customHeight="1" s="41"/>
    <row r="702" ht="14.25" customHeight="1" s="41"/>
    <row r="703" ht="14.25" customHeight="1" s="41"/>
    <row r="704" ht="14.25" customHeight="1" s="41"/>
    <row r="705" ht="14.25" customHeight="1" s="41"/>
    <row r="706" ht="14.25" customHeight="1" s="41"/>
    <row r="707" ht="14.25" customHeight="1" s="41"/>
    <row r="708" ht="14.25" customHeight="1" s="41"/>
    <row r="709" ht="14.25" customHeight="1" s="41"/>
    <row r="710" ht="14.25" customHeight="1" s="41"/>
    <row r="711" ht="14.25" customHeight="1" s="41"/>
    <row r="712" ht="14.25" customHeight="1" s="41"/>
    <row r="713" ht="14.25" customHeight="1" s="41"/>
    <row r="714" ht="14.25" customHeight="1" s="41"/>
    <row r="715" ht="14.25" customHeight="1" s="41"/>
    <row r="716" ht="14.25" customHeight="1" s="41"/>
    <row r="717" ht="14.25" customHeight="1" s="41"/>
    <row r="718" ht="14.25" customHeight="1" s="41"/>
    <row r="719" ht="14.25" customHeight="1" s="41"/>
    <row r="720" ht="14.25" customHeight="1" s="41"/>
    <row r="721" ht="14.25" customHeight="1" s="41"/>
    <row r="722" ht="14.25" customHeight="1" s="41"/>
    <row r="723" ht="14.25" customHeight="1" s="41"/>
    <row r="724" ht="14.25" customHeight="1" s="41"/>
    <row r="725" ht="14.25" customHeight="1" s="41"/>
    <row r="726" ht="14.25" customHeight="1" s="41"/>
    <row r="727" ht="14.25" customHeight="1" s="41"/>
    <row r="728" ht="14.25" customHeight="1" s="41"/>
    <row r="729" ht="14.25" customHeight="1" s="41"/>
    <row r="730" ht="14.25" customHeight="1" s="41"/>
    <row r="731" ht="14.25" customHeight="1" s="41"/>
    <row r="732" ht="14.25" customHeight="1" s="41"/>
    <row r="733" ht="14.25" customHeight="1" s="41"/>
    <row r="734" ht="14.25" customHeight="1" s="41"/>
    <row r="735" ht="14.25" customHeight="1" s="41"/>
    <row r="736" ht="14.25" customHeight="1" s="41"/>
    <row r="737" ht="14.25" customHeight="1" s="41"/>
    <row r="738" ht="14.25" customHeight="1" s="41"/>
    <row r="739" ht="14.25" customHeight="1" s="41"/>
    <row r="740" ht="14.25" customHeight="1" s="41"/>
    <row r="741" ht="14.25" customHeight="1" s="41"/>
    <row r="742" ht="14.25" customHeight="1" s="41"/>
    <row r="743" ht="14.25" customHeight="1" s="41"/>
    <row r="744" ht="14.25" customHeight="1" s="41"/>
    <row r="745" ht="14.25" customHeight="1" s="41"/>
    <row r="746" ht="14.25" customHeight="1" s="41"/>
    <row r="747" ht="14.25" customHeight="1" s="41"/>
    <row r="748" ht="14.25" customHeight="1" s="41"/>
    <row r="749" ht="14.25" customHeight="1" s="41"/>
    <row r="750" ht="14.25" customHeight="1" s="41"/>
    <row r="751" ht="14.25" customHeight="1" s="41"/>
    <row r="752" ht="14.25" customHeight="1" s="41"/>
    <row r="753" ht="14.25" customHeight="1" s="41"/>
    <row r="754" ht="14.25" customHeight="1" s="41"/>
    <row r="755" ht="14.25" customHeight="1" s="41"/>
    <row r="756" ht="14.25" customHeight="1" s="41"/>
    <row r="757" ht="14.25" customHeight="1" s="41"/>
    <row r="758" ht="14.25" customHeight="1" s="41"/>
    <row r="759" ht="14.25" customHeight="1" s="41"/>
    <row r="760" ht="14.25" customHeight="1" s="41"/>
    <row r="761" ht="14.25" customHeight="1" s="41"/>
    <row r="762" ht="14.25" customHeight="1" s="41"/>
    <row r="763" ht="14.25" customHeight="1" s="41"/>
    <row r="764" ht="14.25" customHeight="1" s="41"/>
    <row r="765" ht="14.25" customHeight="1" s="41"/>
    <row r="766" ht="14.25" customHeight="1" s="41"/>
    <row r="767" ht="14.25" customHeight="1" s="41"/>
    <row r="768" ht="14.25" customHeight="1" s="41"/>
    <row r="769" ht="14.25" customHeight="1" s="41"/>
    <row r="770" ht="14.25" customHeight="1" s="41"/>
    <row r="771" ht="14.25" customHeight="1" s="41"/>
    <row r="772" ht="14.25" customHeight="1" s="41"/>
    <row r="773" ht="14.25" customHeight="1" s="41"/>
    <row r="774" ht="14.25" customHeight="1" s="41"/>
    <row r="775" ht="14.25" customHeight="1" s="41"/>
    <row r="776" ht="14.25" customHeight="1" s="41"/>
    <row r="777" ht="14.25" customHeight="1" s="41"/>
    <row r="778" ht="14.25" customHeight="1" s="41"/>
    <row r="779" ht="14.25" customHeight="1" s="41"/>
    <row r="780" ht="14.25" customHeight="1" s="41"/>
    <row r="781" ht="14.25" customHeight="1" s="41"/>
    <row r="782" ht="14.25" customHeight="1" s="41"/>
    <row r="783" ht="14.25" customHeight="1" s="41"/>
    <row r="784" ht="14.25" customHeight="1" s="41"/>
    <row r="785" ht="14.25" customHeight="1" s="41"/>
    <row r="786" ht="14.25" customHeight="1" s="41"/>
    <row r="787" ht="14.25" customHeight="1" s="41"/>
    <row r="788" ht="14.25" customHeight="1" s="41"/>
    <row r="789" ht="14.25" customHeight="1" s="41"/>
    <row r="790" ht="14.25" customHeight="1" s="41"/>
    <row r="791" ht="14.25" customHeight="1" s="41"/>
    <row r="792" ht="14.25" customHeight="1" s="41"/>
    <row r="793" ht="14.25" customHeight="1" s="41"/>
    <row r="794" ht="14.25" customHeight="1" s="41"/>
    <row r="795" ht="14.25" customHeight="1" s="41"/>
    <row r="796" ht="14.25" customHeight="1" s="41"/>
    <row r="797" ht="14.25" customHeight="1" s="41"/>
    <row r="798" ht="14.25" customHeight="1" s="41"/>
    <row r="799" ht="14.25" customHeight="1" s="41"/>
    <row r="800" ht="14.25" customHeight="1" s="41"/>
    <row r="801" ht="14.25" customHeight="1" s="41"/>
    <row r="802" ht="14.25" customHeight="1" s="41"/>
    <row r="803" ht="14.25" customHeight="1" s="41"/>
    <row r="804" ht="14.25" customHeight="1" s="41"/>
    <row r="805" ht="14.25" customHeight="1" s="41"/>
    <row r="806" ht="14.25" customHeight="1" s="41"/>
    <row r="807" ht="14.25" customHeight="1" s="41"/>
    <row r="808" ht="14.25" customHeight="1" s="41"/>
    <row r="809" ht="14.25" customHeight="1" s="41"/>
    <row r="810" ht="14.25" customHeight="1" s="41"/>
    <row r="811" ht="14.25" customHeight="1" s="41"/>
    <row r="812" ht="14.25" customHeight="1" s="41"/>
    <row r="813" ht="14.25" customHeight="1" s="41"/>
    <row r="814" ht="14.25" customHeight="1" s="41"/>
    <row r="815" ht="14.25" customHeight="1" s="41"/>
    <row r="816" ht="14.25" customHeight="1" s="41"/>
    <row r="817" ht="14.25" customHeight="1" s="41"/>
    <row r="818" ht="14.25" customHeight="1" s="41"/>
    <row r="819" ht="14.25" customHeight="1" s="41"/>
    <row r="820" ht="14.25" customHeight="1" s="41"/>
    <row r="821" ht="14.25" customHeight="1" s="41"/>
    <row r="822" ht="14.25" customHeight="1" s="41"/>
    <row r="823" ht="14.25" customHeight="1" s="41"/>
    <row r="824" ht="14.25" customHeight="1" s="41"/>
    <row r="825" ht="14.25" customHeight="1" s="41"/>
    <row r="826" ht="14.25" customHeight="1" s="41"/>
    <row r="827" ht="14.25" customHeight="1" s="41"/>
    <row r="828" ht="14.25" customHeight="1" s="41"/>
    <row r="829" ht="14.25" customHeight="1" s="41"/>
    <row r="830" ht="14.25" customHeight="1" s="41"/>
    <row r="831" ht="14.25" customHeight="1" s="41"/>
    <row r="832" ht="14.25" customHeight="1" s="41"/>
    <row r="833" ht="14.25" customHeight="1" s="41"/>
    <row r="834" ht="14.25" customHeight="1" s="41"/>
    <row r="835" ht="14.25" customHeight="1" s="41"/>
    <row r="836" ht="14.25" customHeight="1" s="41"/>
    <row r="837" ht="14.25" customHeight="1" s="41"/>
    <row r="838" ht="14.25" customHeight="1" s="41"/>
    <row r="839" ht="14.25" customHeight="1" s="41"/>
    <row r="840" ht="14.25" customHeight="1" s="41"/>
    <row r="841" ht="14.25" customHeight="1" s="41"/>
    <row r="842" ht="14.25" customHeight="1" s="41"/>
    <row r="843" ht="14.25" customHeight="1" s="41"/>
    <row r="844" ht="14.25" customHeight="1" s="41"/>
    <row r="845" ht="14.25" customHeight="1" s="41"/>
    <row r="846" ht="14.25" customHeight="1" s="41"/>
    <row r="847" ht="14.25" customHeight="1" s="41"/>
    <row r="848" ht="14.25" customHeight="1" s="41"/>
    <row r="849" ht="14.25" customHeight="1" s="41"/>
    <row r="850" ht="14.25" customHeight="1" s="41"/>
    <row r="851" ht="14.25" customHeight="1" s="41"/>
    <row r="852" ht="14.25" customHeight="1" s="41"/>
    <row r="853" ht="14.25" customHeight="1" s="41"/>
    <row r="854" ht="14.25" customHeight="1" s="41"/>
    <row r="855" ht="14.25" customHeight="1" s="41"/>
    <row r="856" ht="14.25" customHeight="1" s="41"/>
    <row r="857" ht="14.25" customHeight="1" s="41"/>
    <row r="858" ht="14.25" customHeight="1" s="41"/>
    <row r="859" ht="14.25" customHeight="1" s="41"/>
    <row r="860" ht="14.25" customHeight="1" s="41"/>
    <row r="861" ht="14.25" customHeight="1" s="41"/>
    <row r="862" ht="14.25" customHeight="1" s="41"/>
    <row r="863" ht="14.25" customHeight="1" s="41"/>
    <row r="864" ht="14.25" customHeight="1" s="41"/>
    <row r="865" ht="14.25" customHeight="1" s="41"/>
    <row r="866" ht="14.25" customHeight="1" s="41"/>
    <row r="867" ht="14.25" customHeight="1" s="41"/>
    <row r="868" ht="14.25" customHeight="1" s="41"/>
    <row r="869" ht="14.25" customHeight="1" s="41"/>
    <row r="870" ht="14.25" customHeight="1" s="41"/>
    <row r="871" ht="14.25" customHeight="1" s="41"/>
    <row r="872" ht="14.25" customHeight="1" s="41"/>
    <row r="873" ht="14.25" customHeight="1" s="41"/>
    <row r="874" ht="14.25" customHeight="1" s="41"/>
    <row r="875" ht="14.25" customHeight="1" s="41"/>
    <row r="876" ht="14.25" customHeight="1" s="41"/>
    <row r="877" ht="14.25" customHeight="1" s="41"/>
    <row r="878" ht="14.25" customHeight="1" s="41"/>
    <row r="879" ht="14.25" customHeight="1" s="41"/>
    <row r="880" ht="14.25" customHeight="1" s="41"/>
    <row r="881" ht="14.25" customHeight="1" s="41"/>
    <row r="882" ht="14.25" customHeight="1" s="41"/>
    <row r="883" ht="14.25" customHeight="1" s="41"/>
    <row r="884" ht="14.25" customHeight="1" s="41"/>
    <row r="885" ht="14.25" customHeight="1" s="41"/>
    <row r="886" ht="14.25" customHeight="1" s="41"/>
    <row r="887" ht="14.25" customHeight="1" s="41"/>
    <row r="888" ht="14.25" customHeight="1" s="41"/>
    <row r="889" ht="14.25" customHeight="1" s="41"/>
    <row r="890" ht="14.25" customHeight="1" s="41"/>
    <row r="891" ht="14.25" customHeight="1" s="41"/>
    <row r="892" ht="14.25" customHeight="1" s="41"/>
    <row r="893" ht="14.25" customHeight="1" s="41"/>
    <row r="894" ht="14.25" customHeight="1" s="41"/>
    <row r="895" ht="14.25" customHeight="1" s="41"/>
    <row r="896" ht="14.25" customHeight="1" s="41"/>
    <row r="897" ht="14.25" customHeight="1" s="41"/>
    <row r="898" ht="14.25" customHeight="1" s="41"/>
    <row r="899" ht="14.25" customHeight="1" s="41"/>
    <row r="900" ht="14.25" customHeight="1" s="41"/>
    <row r="901" ht="14.25" customHeight="1" s="41"/>
    <row r="902" ht="14.25" customHeight="1" s="41"/>
    <row r="903" ht="14.25" customHeight="1" s="41"/>
    <row r="904" ht="14.25" customHeight="1" s="41"/>
    <row r="905" ht="14.25" customHeight="1" s="41"/>
    <row r="906" ht="14.25" customHeight="1" s="41"/>
    <row r="907" ht="14.25" customHeight="1" s="41"/>
    <row r="908" ht="14.25" customHeight="1" s="41"/>
    <row r="909" ht="14.25" customHeight="1" s="41"/>
    <row r="910" ht="14.25" customHeight="1" s="41"/>
    <row r="911" ht="14.25" customHeight="1" s="41"/>
    <row r="912" ht="14.25" customHeight="1" s="41"/>
    <row r="913" ht="14.25" customHeight="1" s="41"/>
    <row r="914" ht="14.25" customHeight="1" s="41"/>
    <row r="915" ht="14.25" customHeight="1" s="41"/>
    <row r="916" ht="14.25" customHeight="1" s="41"/>
    <row r="917" ht="14.25" customHeight="1" s="41"/>
    <row r="918" ht="14.25" customHeight="1" s="41"/>
    <row r="919" ht="14.25" customHeight="1" s="41"/>
    <row r="920" ht="14.25" customHeight="1" s="41"/>
    <row r="921" ht="14.25" customHeight="1" s="41"/>
    <row r="922" ht="14.25" customHeight="1" s="41"/>
    <row r="923" ht="14.25" customHeight="1" s="41"/>
    <row r="924" ht="14.25" customHeight="1" s="41"/>
    <row r="925" ht="14.25" customHeight="1" s="41"/>
    <row r="926" ht="14.25" customHeight="1" s="41"/>
    <row r="927" ht="14.25" customHeight="1" s="41"/>
    <row r="928" ht="14.25" customHeight="1" s="41"/>
    <row r="929" ht="14.25" customHeight="1" s="41"/>
    <row r="930" ht="14.25" customHeight="1" s="41"/>
    <row r="931" ht="14.25" customHeight="1" s="41"/>
    <row r="932" ht="14.25" customHeight="1" s="41"/>
    <row r="933" ht="14.25" customHeight="1" s="41"/>
    <row r="934" ht="14.25" customHeight="1" s="41"/>
    <row r="935" ht="14.25" customHeight="1" s="41"/>
    <row r="936" ht="14.25" customHeight="1" s="41"/>
    <row r="937" ht="14.25" customHeight="1" s="41"/>
    <row r="938" ht="14.25" customHeight="1" s="41"/>
    <row r="939" ht="14.25" customHeight="1" s="41"/>
    <row r="940" ht="14.25" customHeight="1" s="41"/>
    <row r="941" ht="14.25" customHeight="1" s="41"/>
    <row r="942" ht="14.25" customHeight="1" s="41"/>
    <row r="943" ht="14.25" customHeight="1" s="41"/>
    <row r="944" ht="14.25" customHeight="1" s="41"/>
    <row r="945" ht="14.25" customHeight="1" s="41"/>
    <row r="946" ht="14.25" customHeight="1" s="41"/>
    <row r="947" ht="14.25" customHeight="1" s="41"/>
    <row r="948" ht="14.25" customHeight="1" s="41"/>
    <row r="949" ht="14.25" customHeight="1" s="41"/>
    <row r="950" ht="14.25" customHeight="1" s="41"/>
    <row r="951" ht="14.25" customHeight="1" s="41"/>
    <row r="952" ht="14.25" customHeight="1" s="41"/>
    <row r="953" ht="14.25" customHeight="1" s="41"/>
    <row r="954" ht="14.25" customHeight="1" s="41"/>
    <row r="955" ht="14.25" customHeight="1" s="41"/>
    <row r="956" ht="14.25" customHeight="1" s="41"/>
    <row r="957" ht="14.25" customHeight="1" s="41"/>
    <row r="958" ht="14.25" customHeight="1" s="41"/>
    <row r="959" ht="14.25" customHeight="1" s="41"/>
    <row r="960" ht="14.25" customHeight="1" s="41"/>
    <row r="961" ht="14.25" customHeight="1" s="41"/>
    <row r="962" ht="14.25" customHeight="1" s="41"/>
    <row r="963" ht="14.25" customHeight="1" s="41"/>
    <row r="964" ht="14.25" customHeight="1" s="41"/>
    <row r="965" ht="14.25" customHeight="1" s="41"/>
    <row r="966" ht="14.25" customHeight="1" s="41"/>
    <row r="967" ht="14.25" customHeight="1" s="41"/>
    <row r="968" ht="14.25" customHeight="1" s="41"/>
    <row r="969" ht="14.25" customHeight="1" s="41"/>
    <row r="970" ht="14.25" customHeight="1" s="41"/>
    <row r="971" ht="14.25" customHeight="1" s="41"/>
    <row r="972" ht="14.25" customHeight="1" s="41"/>
    <row r="973" ht="14.25" customHeight="1" s="41"/>
    <row r="974" ht="14.25" customHeight="1" s="41"/>
    <row r="975" ht="14.25" customHeight="1" s="41"/>
    <row r="976" ht="14.25" customHeight="1" s="41"/>
    <row r="977" ht="14.25" customHeight="1" s="41"/>
    <row r="978" ht="14.25" customHeight="1" s="41"/>
    <row r="979" ht="14.25" customHeight="1" s="41"/>
    <row r="980" ht="14.25" customHeight="1" s="41"/>
    <row r="981" ht="14.25" customHeight="1" s="41"/>
    <row r="982" ht="14.25" customHeight="1" s="41"/>
    <row r="983" ht="14.25" customHeight="1" s="41"/>
    <row r="984" ht="14.25" customHeight="1" s="41"/>
    <row r="985" ht="14.25" customHeight="1" s="41"/>
    <row r="986" ht="14.25" customHeight="1" s="41"/>
    <row r="987" ht="14.25" customHeight="1" s="41"/>
    <row r="988" ht="14.25" customHeight="1" s="41"/>
    <row r="989" ht="14.25" customHeight="1" s="41"/>
    <row r="990" ht="14.25" customHeight="1" s="41"/>
    <row r="991" ht="14.25" customHeight="1" s="41"/>
    <row r="992" ht="14.25" customHeight="1" s="41"/>
    <row r="993" ht="14.25" customHeight="1" s="41"/>
    <row r="994" ht="14.25" customHeight="1" s="41"/>
    <row r="995" ht="14.25" customHeight="1" s="41"/>
    <row r="996" ht="14.25" customHeight="1" s="41"/>
    <row r="997" ht="14.25" customHeight="1" s="41"/>
    <row r="998" ht="14.25" customHeight="1" s="41"/>
    <row r="999" ht="14.25" customHeight="1" s="41"/>
    <row r="1000" ht="14.25" customHeight="1" s="41"/>
  </sheetData>
  <mergeCells count="1">
    <mergeCell ref="A1:G1"/>
  </mergeCells>
  <dataValidations count="1">
    <dataValidation sqref="B4:G10" showErrorMessage="1" showInputMessage="1" allowBlank="1" type="list">
      <formula1>"✓"</formula1>
    </dataValidation>
  </dataValidations>
  <pageMargins left="0.75" right="0.75" top="1" bottom="1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94"/>
  <sheetViews>
    <sheetView showGridLines="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8" defaultColWidth="14.43" defaultRowHeight="15" customHeight="1"/>
  <cols>
    <col width="9.140000000000001" customWidth="1" style="41" min="1" max="2"/>
    <col width="7.29" customWidth="1" style="41" min="3" max="3"/>
    <col width="23.57" customWidth="1" style="41" min="4" max="4"/>
    <col width="16.43" customWidth="1" style="41" min="5" max="5"/>
    <col width="10.86" customWidth="1" style="41" min="6" max="6"/>
    <col width="12.71" customWidth="1" style="41" min="7" max="8"/>
    <col width="36.43" customWidth="1" style="41" min="9" max="9"/>
    <col width="22" customWidth="1" style="41" min="10" max="13"/>
    <col width="7.86" customWidth="1" style="41" min="14" max="26"/>
  </cols>
  <sheetData>
    <row r="1" ht="25.5" customHeight="1" s="41">
      <c r="A1" s="1" t="inlineStr">
        <is>
          <t>チェックリスト — 実施記録（メイン）</t>
        </is>
      </c>
      <c r="J1" s="13" t="inlineStr">
        <is>
          <t>セッション１</t>
        </is>
      </c>
      <c r="K1" s="13" t="inlineStr">
        <is>
          <t>高齢者側</t>
        </is>
      </c>
      <c r="L1" s="13" t="inlineStr">
        <is>
          <t>テスターC</t>
        </is>
      </c>
    </row>
    <row r="2" ht="14.25" customHeight="1" s="41">
      <c r="J2" s="13" t="inlineStr">
        <is>
          <t>セッション２</t>
        </is>
      </c>
      <c r="K2" s="13" t="inlineStr">
        <is>
          <t>高齢者側</t>
        </is>
      </c>
      <c r="L2" s="13" t="inlineStr">
        <is>
          <t>テスターB</t>
        </is>
      </c>
    </row>
    <row r="3" ht="30" customHeight="1" s="41">
      <c r="A3" s="6" t="inlineStr">
        <is>
          <t>ラウンド</t>
        </is>
      </c>
      <c r="B3" s="6" t="inlineStr">
        <is>
          <t>セッション(Day)</t>
        </is>
      </c>
      <c r="C3" s="6" t="inlineStr">
        <is>
          <t>番号</t>
        </is>
      </c>
      <c r="D3" s="6" t="inlineStr">
        <is>
          <t>場面</t>
        </is>
      </c>
      <c r="E3" s="6" t="inlineStr">
        <is>
          <t>正解</t>
        </is>
      </c>
      <c r="F3" s="6" t="inlineStr">
        <is>
          <t>実施日</t>
        </is>
      </c>
      <c r="G3" s="6" t="inlineStr">
        <is>
          <t>反応した回数</t>
        </is>
      </c>
      <c r="H3" s="6" t="inlineStr">
        <is>
          <t>期待どおり？</t>
        </is>
      </c>
      <c r="I3" s="6" t="inlineStr">
        <is>
          <t>メモ</t>
        </is>
      </c>
      <c r="J3" s="14" t="inlineStr">
        <is>
          <t>高齢者役_環境</t>
        </is>
      </c>
      <c r="K3" s="14" t="inlineStr">
        <is>
          <t>高齢者役_マイク</t>
        </is>
      </c>
      <c r="L3" s="14" t="inlineStr">
        <is>
          <t>家族役_環境</t>
        </is>
      </c>
      <c r="M3" s="14" t="inlineStr">
        <is>
          <t>家族役_マイク</t>
        </is>
      </c>
    </row>
    <row r="4" ht="17.25" customHeight="1" s="41">
      <c r="A4" s="15" t="inlineStr">
        <is>
          <t>例</t>
        </is>
      </c>
      <c r="B4" s="15" t="n">
        <v>1</v>
      </c>
      <c r="C4" s="16" t="inlineStr">
        <is>
          <t>A1</t>
        </is>
      </c>
      <c r="D4" s="17" t="inlineStr">
        <is>
          <t>静かにする</t>
        </is>
      </c>
      <c r="E4" s="15" t="inlineStr">
        <is>
          <t>反応しない</t>
        </is>
      </c>
      <c r="F4" s="16" t="inlineStr">
        <is>
          <t>7/15</t>
        </is>
      </c>
      <c r="G4" s="15" t="n">
        <v>0</v>
      </c>
      <c r="H4" s="15" t="inlineStr">
        <is>
          <t>◯</t>
        </is>
      </c>
      <c r="I4" s="17" t="inlineStr">
        <is>
          <t>問題なし</t>
        </is>
      </c>
      <c r="J4" s="18">
        <f t="array" ref="J4">IFERROR(INDEX('④回収ファイル一覧'!$G$4:$G$11,MATCH(A4&amp;"-"&amp;B4,'④回収ファイル一覧'!$K$4:$K$11,0)),"")</f>
        <v/>
      </c>
      <c r="K4" s="18">
        <f t="array" ref="K4">IFERROR(INDEX('④回収ファイル一覧'!$H$4:$H$11,MATCH(A4&amp;"-"&amp;B4,'④回収ファイル一覧'!$K$4:$K$11,0)),"")</f>
        <v/>
      </c>
      <c r="L4" s="18">
        <f t="array" ref="L4">IFERROR(INDEX('④回収ファイル一覧'!$I$4:$I$11,MATCH(A4&amp;"-"&amp;B4,'④回収ファイル一覧'!$K$4:$K$11,0)),"")</f>
        <v/>
      </c>
      <c r="M4" s="18">
        <f t="array" ref="M4">IFERROR(INDEX('④回収ファイル一覧'!$J$4:$J$11,MATCH(A4&amp;"-"&amp;B4,'④回収ファイル一覧'!$K$4:$K$11,0)),"")</f>
        <v/>
      </c>
    </row>
    <row r="5" ht="17.25" customHeight="1" s="41">
      <c r="A5" s="19" t="n">
        <v>1</v>
      </c>
      <c r="B5" s="19" t="n">
        <v>1</v>
      </c>
      <c r="C5" s="20" t="inlineStr">
        <is>
          <t>A1</t>
        </is>
      </c>
      <c r="D5" s="21" t="inlineStr">
        <is>
          <t>静かにする</t>
        </is>
      </c>
      <c r="E5" s="31" t="inlineStr">
        <is>
          <t>反応しない</t>
        </is>
      </c>
      <c r="F5" s="33" t="n">
        <v>46215</v>
      </c>
      <c r="G5" s="31" t="n">
        <v>1</v>
      </c>
      <c r="H5" s="28" t="inlineStr">
        <is>
          <t>×</t>
        </is>
      </c>
      <c r="I5" s="24" t="inlineStr">
        <is>
          <t>機械音みたいなものに反応</t>
        </is>
      </c>
      <c r="J5" s="18">
        <f t="array" ref="J5">IFERROR(INDEX('④回収ファイル一覧'!$G$4:$G$11,MATCH(A5&amp;"-"&amp;B5,'④回収ファイル一覧'!$K$4:$K$11,0)),"")</f>
        <v/>
      </c>
      <c r="K5" s="18">
        <f t="array" ref="K5">IFERROR(INDEX('④回収ファイル一覧'!$H$4:$H$11,MATCH(A5&amp;"-"&amp;B5,'④回収ファイル一覧'!$K$4:$K$11,0)),"")</f>
        <v/>
      </c>
      <c r="L5" s="18">
        <f t="array" ref="L5">IFERROR(INDEX('④回収ファイル一覧'!$I$4:$I$11,MATCH(A5&amp;"-"&amp;B5,'④回収ファイル一覧'!$K$4:$K$11,0)),"")</f>
        <v/>
      </c>
      <c r="M5" s="18">
        <f t="array" ref="M5">IFERROR(INDEX('④回収ファイル一覧'!$J$4:$J$11,MATCH(A5&amp;"-"&amp;B5,'④回収ファイル一覧'!$K$4:$K$11,0)),"")</f>
        <v/>
      </c>
    </row>
    <row r="6" ht="17.25" customHeight="1" s="41">
      <c r="A6" s="31" t="n">
        <v>1</v>
      </c>
      <c r="B6" s="31" t="n">
        <v>1</v>
      </c>
      <c r="C6" s="20" t="inlineStr">
        <is>
          <t>A2</t>
        </is>
      </c>
      <c r="D6" s="25" t="inlineStr">
        <is>
          <t>ふつうの雑談（2分）</t>
        </is>
      </c>
      <c r="E6" s="31" t="inlineStr">
        <is>
          <t>反応しない</t>
        </is>
      </c>
      <c r="F6" s="33" t="n">
        <v>46215</v>
      </c>
      <c r="G6" s="31" t="n">
        <v>9</v>
      </c>
      <c r="H6" s="28" t="inlineStr">
        <is>
          <t>×</t>
        </is>
      </c>
      <c r="I6" s="24" t="inlineStr">
        <is>
          <t>平坦な声で世間話をしているが9回も反応した</t>
        </is>
      </c>
      <c r="J6" s="18">
        <f t="array" ref="J6">IFERROR(INDEX('④回収ファイル一覧'!$G$4:$G$11,MATCH(A6&amp;"-"&amp;B6,'④回収ファイル一覧'!$K$4:$K$11,0)),"")</f>
        <v/>
      </c>
      <c r="K6" s="18">
        <f t="array" ref="K6">IFERROR(INDEX('④回収ファイル一覧'!$H$4:$H$11,MATCH(A6&amp;"-"&amp;B6,'④回収ファイル一覧'!$K$4:$K$11,0)),"")</f>
        <v/>
      </c>
      <c r="L6" s="18">
        <f t="array" ref="L6">IFERROR(INDEX('④回収ファイル一覧'!$I$4:$I$11,MATCH(A6&amp;"-"&amp;B6,'④回収ファイル一覧'!$K$4:$K$11,0)),"")</f>
        <v/>
      </c>
      <c r="M6" s="18">
        <f t="array" ref="M6">IFERROR(INDEX('④回収ファイル一覧'!$J$4:$J$11,MATCH(A6&amp;"-"&amp;B6,'④回収ファイル一覧'!$K$4:$K$11,0)),"")</f>
        <v/>
      </c>
    </row>
    <row r="7" ht="17.25" customHeight="1" s="41">
      <c r="A7" s="31" t="n">
        <v>1</v>
      </c>
      <c r="B7" s="31" t="n">
        <v>1</v>
      </c>
      <c r="C7" s="20" t="inlineStr">
        <is>
          <t>A3</t>
        </is>
      </c>
      <c r="D7" s="21" t="inlineStr">
        <is>
          <t>本を読む</t>
        </is>
      </c>
      <c r="E7" s="31" t="inlineStr">
        <is>
          <t>反応しない</t>
        </is>
      </c>
      <c r="F7" s="33" t="n">
        <v>46215</v>
      </c>
      <c r="G7" s="31" t="n">
        <v>14</v>
      </c>
      <c r="H7" s="28" t="inlineStr">
        <is>
          <t>×</t>
        </is>
      </c>
      <c r="I7" s="32" t="n"/>
      <c r="J7" s="18">
        <f t="array" ref="J7">IFERROR(INDEX('④回収ファイル一覧'!$G$4:$G$11,MATCH(A7&amp;"-"&amp;B7,'④回収ファイル一覧'!$K$4:$K$11,0)),"")</f>
        <v/>
      </c>
      <c r="K7" s="18">
        <f t="array" ref="K7">IFERROR(INDEX('④回収ファイル一覧'!$H$4:$H$11,MATCH(A7&amp;"-"&amp;B7,'④回収ファイル一覧'!$K$4:$K$11,0)),"")</f>
        <v/>
      </c>
      <c r="L7" s="18">
        <f t="array" ref="L7">IFERROR(INDEX('④回収ファイル一覧'!$I$4:$I$11,MATCH(A7&amp;"-"&amp;B7,'④回収ファイル一覧'!$K$4:$K$11,0)),"")</f>
        <v/>
      </c>
      <c r="M7" s="18">
        <f t="array" ref="M7">IFERROR(INDEX('④回収ファイル一覧'!$J$4:$J$11,MATCH(A7&amp;"-"&amp;B7,'④回収ファイル一覧'!$K$4:$K$11,0)),"")</f>
        <v/>
      </c>
    </row>
    <row r="8" ht="36" customHeight="1" s="41">
      <c r="A8" s="31" t="n">
        <v>1</v>
      </c>
      <c r="B8" s="31" t="n">
        <v>1</v>
      </c>
      <c r="C8" s="20" t="inlineStr">
        <is>
          <t>A4</t>
        </is>
      </c>
      <c r="D8" s="21" t="inlineStr">
        <is>
          <t>生活音を出す</t>
        </is>
      </c>
      <c r="E8" s="31" t="inlineStr">
        <is>
          <t>反応しない</t>
        </is>
      </c>
      <c r="F8" s="33" t="n">
        <v>46215</v>
      </c>
      <c r="G8" s="31" t="n">
        <v>5</v>
      </c>
      <c r="H8" s="28" t="inlineStr">
        <is>
          <t>×</t>
        </is>
      </c>
      <c r="I8" s="24" t="inlineStr">
        <is>
          <t>掃除機の音、ペットボトルに水を入れる音、</t>
        </is>
      </c>
      <c r="J8" s="18">
        <f t="array" ref="J8">IFERROR(INDEX('④回収ファイル一覧'!$G$4:$G$11,MATCH(A8&amp;"-"&amp;B8,'④回収ファイル一覧'!$K$4:$K$11,0)),"")</f>
        <v/>
      </c>
      <c r="K8" s="18">
        <f t="array" ref="K8">IFERROR(INDEX('④回収ファイル一覧'!$H$4:$H$11,MATCH(A8&amp;"-"&amp;B8,'④回収ファイル一覧'!$K$4:$K$11,0)),"")</f>
        <v/>
      </c>
      <c r="L8" s="18">
        <f t="array" ref="L8">IFERROR(INDEX('④回収ファイル一覧'!$I$4:$I$11,MATCH(A8&amp;"-"&amp;B8,'④回収ファイル一覧'!$K$4:$K$11,0)),"")</f>
        <v/>
      </c>
      <c r="M8" s="18">
        <f t="array" ref="M8">IFERROR(INDEX('④回収ファイル一覧'!$J$4:$J$11,MATCH(A8&amp;"-"&amp;B8,'④回収ファイル一覧'!$K$4:$K$11,0)),"")</f>
        <v/>
      </c>
    </row>
    <row r="9" ht="33.75" customHeight="1" s="41">
      <c r="A9" s="31" t="n">
        <v>1</v>
      </c>
      <c r="B9" s="31" t="n">
        <v>1</v>
      </c>
      <c r="C9" s="20" t="inlineStr">
        <is>
          <t>A5</t>
        </is>
      </c>
      <c r="D9" s="21" t="inlineStr">
        <is>
          <t>最初のあいさつ（かけ直し）</t>
        </is>
      </c>
      <c r="E9" s="31" t="inlineStr">
        <is>
          <t>反応しない</t>
        </is>
      </c>
      <c r="F9" s="33" t="n">
        <v>46215</v>
      </c>
      <c r="G9" s="31" t="n">
        <v>1</v>
      </c>
      <c r="H9" s="28" t="inlineStr">
        <is>
          <t>×</t>
        </is>
      </c>
      <c r="I9" s="32" t="n"/>
      <c r="J9" s="18">
        <f t="array" ref="J9">IFERROR(INDEX('④回収ファイル一覧'!$G$4:$G$11,MATCH(A9&amp;"-"&amp;B9,'④回収ファイル一覧'!$K$4:$K$11,0)),"")</f>
        <v/>
      </c>
      <c r="K9" s="18">
        <f t="array" ref="K9">IFERROR(INDEX('④回収ファイル一覧'!$H$4:$H$11,MATCH(A9&amp;"-"&amp;B9,'④回収ファイル一覧'!$K$4:$K$11,0)),"")</f>
        <v/>
      </c>
      <c r="L9" s="18">
        <f t="array" ref="L9">IFERROR(INDEX('④回収ファイル一覧'!$I$4:$I$11,MATCH(A9&amp;"-"&amp;B9,'④回収ファイル一覧'!$K$4:$K$11,0)),"")</f>
        <v/>
      </c>
      <c r="M9" s="18">
        <f t="array" ref="M9">IFERROR(INDEX('④回収ファイル一覧'!$J$4:$J$11,MATCH(A9&amp;"-"&amp;B9,'④回収ファイル一覧'!$K$4:$K$11,0)),"")</f>
        <v/>
      </c>
    </row>
    <row r="10">
      <c r="A10" s="31" t="n">
        <v>1</v>
      </c>
      <c r="B10" s="31" t="n">
        <v>1</v>
      </c>
      <c r="C10" s="20" t="inlineStr">
        <is>
          <t>A6</t>
        </is>
      </c>
      <c r="D10" s="21" t="inlineStr">
        <is>
          <t>立って戻る</t>
        </is>
      </c>
      <c r="E10" s="31" t="inlineStr">
        <is>
          <t>反応しない</t>
        </is>
      </c>
      <c r="F10" s="33" t="n">
        <v>46215</v>
      </c>
      <c r="G10" s="31" t="n">
        <v>8</v>
      </c>
      <c r="H10" s="28" t="inlineStr">
        <is>
          <t>×</t>
        </is>
      </c>
      <c r="I10" s="24" t="inlineStr">
        <is>
          <t>途中で落ちたので3回目のログに入っている</t>
        </is>
      </c>
      <c r="J10" s="18">
        <f t="array" ref="J10">IFERROR(INDEX('④回収ファイル一覧'!$G$4:$G$11,MATCH(A10&amp;"-"&amp;B10,'④回収ファイル一覧'!$K$4:$K$11,0)),"")</f>
        <v/>
      </c>
      <c r="K10" s="18">
        <f t="array" ref="K10">IFERROR(INDEX('④回収ファイル一覧'!$H$4:$H$11,MATCH(A10&amp;"-"&amp;B10,'④回収ファイル一覧'!$K$4:$K$11,0)),"")</f>
        <v/>
      </c>
      <c r="L10" s="18">
        <f t="array" ref="L10">IFERROR(INDEX('④回収ファイル一覧'!$I$4:$I$11,MATCH(A10&amp;"-"&amp;B10,'④回収ファイル一覧'!$K$4:$K$11,0)),"")</f>
        <v/>
      </c>
      <c r="M10" s="18">
        <f t="array" ref="M10">IFERROR(INDEX('④回収ファイル一覧'!$J$4:$J$11,MATCH(A10&amp;"-"&amp;B10,'④回収ファイル一覧'!$K$4:$K$11,0)),"")</f>
        <v/>
      </c>
    </row>
    <row r="11" ht="17.25" customHeight="1" s="41">
      <c r="A11" s="31" t="n">
        <v>1</v>
      </c>
      <c r="B11" s="31" t="n">
        <v>1</v>
      </c>
      <c r="C11" s="26" t="inlineStr">
        <is>
          <t>B1</t>
        </is>
      </c>
      <c r="D11" s="27" t="inlineStr">
        <is>
          <t>声を出して笑う</t>
        </is>
      </c>
      <c r="E11" s="31" t="inlineStr">
        <is>
          <t>反応する</t>
        </is>
      </c>
      <c r="F11" s="33" t="n">
        <v>46215</v>
      </c>
      <c r="G11" s="31" t="n">
        <v>5</v>
      </c>
      <c r="H11" s="28" t="inlineStr">
        <is>
          <t>◯</t>
        </is>
      </c>
      <c r="I11" s="32" t="n"/>
      <c r="J11" s="18">
        <f t="array" ref="J11">IFERROR(INDEX('④回収ファイル一覧'!$G$4:$G$11,MATCH(A11&amp;"-"&amp;B11,'④回収ファイル一覧'!$K$4:$K$11,0)),"")</f>
        <v/>
      </c>
      <c r="K11" s="18">
        <f t="array" ref="K11">IFERROR(INDEX('④回収ファイル一覧'!$H$4:$H$11,MATCH(A11&amp;"-"&amp;B11,'④回収ファイル一覧'!$K$4:$K$11,0)),"")</f>
        <v/>
      </c>
      <c r="L11" s="18">
        <f t="array" ref="L11">IFERROR(INDEX('④回収ファイル一覧'!$I$4:$I$11,MATCH(A11&amp;"-"&amp;B11,'④回収ファイル一覧'!$K$4:$K$11,0)),"")</f>
        <v/>
      </c>
      <c r="M11" s="18">
        <f t="array" ref="M11">IFERROR(INDEX('④回収ファイル一覧'!$J$4:$J$11,MATCH(A11&amp;"-"&amp;B11,'④回収ファイル一覧'!$K$4:$K$11,0)),"")</f>
        <v/>
      </c>
    </row>
    <row r="12" ht="17.25" customHeight="1" s="41">
      <c r="A12" s="31" t="n">
        <v>1</v>
      </c>
      <c r="B12" s="31" t="n">
        <v>1</v>
      </c>
      <c r="C12" s="26" t="inlineStr">
        <is>
          <t>B2</t>
        </is>
      </c>
      <c r="D12" s="27" t="inlineStr">
        <is>
          <t>驚く</t>
        </is>
      </c>
      <c r="E12" s="31" t="inlineStr">
        <is>
          <t>反応する</t>
        </is>
      </c>
      <c r="F12" s="33" t="n">
        <v>46215</v>
      </c>
      <c r="G12" s="31" t="n">
        <v>4</v>
      </c>
      <c r="H12" s="28" t="inlineStr">
        <is>
          <t>◯</t>
        </is>
      </c>
      <c r="I12" s="32" t="n"/>
      <c r="J12" s="18">
        <f t="array" ref="J12">IFERROR(INDEX('④回収ファイル一覧'!$G$4:$G$11,MATCH(A12&amp;"-"&amp;B12,'④回収ファイル一覧'!$K$4:$K$11,0)),"")</f>
        <v/>
      </c>
      <c r="K12" s="18">
        <f t="array" ref="K12">IFERROR(INDEX('④回収ファイル一覧'!$H$4:$H$11,MATCH(A12&amp;"-"&amp;B12,'④回収ファイル一覧'!$K$4:$K$11,0)),"")</f>
        <v/>
      </c>
      <c r="L12" s="18">
        <f t="array" ref="L12">IFERROR(INDEX('④回収ファイル一覧'!$I$4:$I$11,MATCH(A12&amp;"-"&amp;B12,'④回収ファイル一覧'!$K$4:$K$11,0)),"")</f>
        <v/>
      </c>
      <c r="M12" s="18">
        <f t="array" ref="M12">IFERROR(INDEX('④回収ファイル一覧'!$J$4:$J$11,MATCH(A12&amp;"-"&amp;B12,'④回収ファイル一覧'!$K$4:$K$11,0)),"")</f>
        <v/>
      </c>
    </row>
    <row r="13" ht="17.25" customHeight="1" s="41">
      <c r="A13" s="31" t="n">
        <v>1</v>
      </c>
      <c r="B13" s="31" t="n">
        <v>1</v>
      </c>
      <c r="C13" s="26" t="inlineStr">
        <is>
          <t>B3</t>
        </is>
      </c>
      <c r="D13" s="27" t="inlineStr">
        <is>
          <t>怒る</t>
        </is>
      </c>
      <c r="E13" s="31" t="inlineStr">
        <is>
          <t>反応する</t>
        </is>
      </c>
      <c r="F13" s="33" t="n">
        <v>46215</v>
      </c>
      <c r="G13" s="31" t="n">
        <v>3</v>
      </c>
      <c r="H13" s="28" t="inlineStr">
        <is>
          <t>◯</t>
        </is>
      </c>
      <c r="I13" s="32" t="n"/>
      <c r="J13" s="18">
        <f t="array" ref="J13">IFERROR(INDEX('④回収ファイル一覧'!$G$4:$G$11,MATCH(A13&amp;"-"&amp;B13,'④回収ファイル一覧'!$K$4:$K$11,0)),"")</f>
        <v/>
      </c>
      <c r="K13" s="18">
        <f t="array" ref="K13">IFERROR(INDEX('④回収ファイル一覧'!$H$4:$H$11,MATCH(A13&amp;"-"&amp;B13,'④回収ファイル一覧'!$K$4:$K$11,0)),"")</f>
        <v/>
      </c>
      <c r="L13" s="18">
        <f t="array" ref="L13">IFERROR(INDEX('④回収ファイル一覧'!$I$4:$I$11,MATCH(A13&amp;"-"&amp;B13,'④回収ファイル一覧'!$K$4:$K$11,0)),"")</f>
        <v/>
      </c>
      <c r="M13" s="18">
        <f t="array" ref="M13">IFERROR(INDEX('④回収ファイル一覧'!$J$4:$J$11,MATCH(A13&amp;"-"&amp;B13,'④回収ファイル一覧'!$K$4:$K$11,0)),"")</f>
        <v/>
      </c>
    </row>
    <row r="14" ht="33.75" customHeight="1" s="41">
      <c r="A14" s="31" t="n">
        <v>1</v>
      </c>
      <c r="B14" s="31" t="n">
        <v>1</v>
      </c>
      <c r="C14" s="26" t="inlineStr">
        <is>
          <t>B4</t>
        </is>
      </c>
      <c r="D14" s="27" t="inlineStr">
        <is>
          <t>静かに笑う（声量そのまま）</t>
        </is>
      </c>
      <c r="E14" s="31" t="inlineStr">
        <is>
          <t>反応する</t>
        </is>
      </c>
      <c r="F14" s="33" t="n">
        <v>46215</v>
      </c>
      <c r="G14" s="31" t="n">
        <v>4</v>
      </c>
      <c r="H14" s="28" t="inlineStr">
        <is>
          <t>◯</t>
        </is>
      </c>
      <c r="I14" s="32" t="n"/>
      <c r="J14" s="18">
        <f t="array" ref="J14">IFERROR(INDEX('④回収ファイル一覧'!$G$4:$G$11,MATCH(A14&amp;"-"&amp;B14,'④回収ファイル一覧'!$K$4:$K$11,0)),"")</f>
        <v/>
      </c>
      <c r="K14" s="18">
        <f t="array" ref="K14">IFERROR(INDEX('④回収ファイル一覧'!$H$4:$H$11,MATCH(A14&amp;"-"&amp;B14,'④回収ファイル一覧'!$K$4:$K$11,0)),"")</f>
        <v/>
      </c>
      <c r="L14" s="18">
        <f t="array" ref="L14">IFERROR(INDEX('④回収ファイル一覧'!$I$4:$I$11,MATCH(A14&amp;"-"&amp;B14,'④回収ファイル一覧'!$K$4:$K$11,0)),"")</f>
        <v/>
      </c>
      <c r="M14" s="18">
        <f t="array" ref="M14">IFERROR(INDEX('④回収ファイル一覧'!$J$4:$J$11,MATCH(A14&amp;"-"&amp;B14,'④回収ファイル一覧'!$K$4:$K$11,0)),"")</f>
        <v/>
      </c>
    </row>
    <row r="15">
      <c r="A15" s="31" t="n">
        <v>1</v>
      </c>
      <c r="B15" s="31" t="n">
        <v>1</v>
      </c>
      <c r="C15" s="26" t="inlineStr">
        <is>
          <t>B5</t>
        </is>
      </c>
      <c r="D15" s="27" t="inlineStr">
        <is>
          <t>ほめ言葉（ふだんの声）</t>
        </is>
      </c>
      <c r="E15" s="31" t="inlineStr">
        <is>
          <t>反応する</t>
        </is>
      </c>
      <c r="F15" s="33" t="n">
        <v>46215</v>
      </c>
      <c r="G15" s="31" t="n">
        <v>5</v>
      </c>
      <c r="H15" s="28" t="inlineStr">
        <is>
          <t>◯</t>
        </is>
      </c>
      <c r="I15" s="32" t="n"/>
      <c r="J15" s="18">
        <f t="array" ref="J15">IFERROR(INDEX('④回収ファイル一覧'!$G$4:$G$11,MATCH(A15&amp;"-"&amp;B15,'④回収ファイル一覧'!$K$4:$K$11,0)),"")</f>
        <v/>
      </c>
      <c r="K15" s="18">
        <f t="array" ref="K15">IFERROR(INDEX('④回収ファイル一覧'!$H$4:$H$11,MATCH(A15&amp;"-"&amp;B15,'④回収ファイル一覧'!$K$4:$K$11,0)),"")</f>
        <v/>
      </c>
      <c r="L15" s="18">
        <f t="array" ref="L15">IFERROR(INDEX('④回収ファイル一覧'!$I$4:$I$11,MATCH(A15&amp;"-"&amp;B15,'④回収ファイル一覧'!$K$4:$K$11,0)),"")</f>
        <v/>
      </c>
      <c r="M15" s="18">
        <f t="array" ref="M15">IFERROR(INDEX('④回収ファイル一覧'!$J$4:$J$11,MATCH(A15&amp;"-"&amp;B15,'④回収ファイル一覧'!$K$4:$K$11,0)),"")</f>
        <v/>
      </c>
    </row>
    <row r="16">
      <c r="A16" s="31" t="n">
        <v>1</v>
      </c>
      <c r="B16" s="31" t="n">
        <v>1</v>
      </c>
      <c r="C16" s="26" t="inlineStr">
        <is>
          <t>B6</t>
        </is>
      </c>
      <c r="D16" s="27" t="inlineStr">
        <is>
          <t>感極まる</t>
        </is>
      </c>
      <c r="E16" s="31" t="inlineStr">
        <is>
          <t>反応する</t>
        </is>
      </c>
      <c r="F16" s="33" t="n">
        <v>46215</v>
      </c>
      <c r="G16" s="31" t="n">
        <v>4</v>
      </c>
      <c r="H16" s="28" t="inlineStr">
        <is>
          <t>◯</t>
        </is>
      </c>
      <c r="I16" s="32" t="n"/>
      <c r="J16" s="18">
        <f t="array" ref="J16">IFERROR(INDEX('④回収ファイル一覧'!$G$4:$G$11,MATCH(A16&amp;"-"&amp;B16,'④回収ファイル一覧'!$K$4:$K$11,0)),"")</f>
        <v/>
      </c>
      <c r="K16" s="18">
        <f t="array" ref="K16">IFERROR(INDEX('④回収ファイル一覧'!$H$4:$H$11,MATCH(A16&amp;"-"&amp;B16,'④回収ファイル一覧'!$K$4:$K$11,0)),"")</f>
        <v/>
      </c>
      <c r="L16" s="18">
        <f t="array" ref="L16">IFERROR(INDEX('④回収ファイル一覧'!$I$4:$I$11,MATCH(A16&amp;"-"&amp;B16,'④回収ファイル一覧'!$K$4:$K$11,0)),"")</f>
        <v/>
      </c>
      <c r="M16" s="18">
        <f t="array" ref="M16">IFERROR(INDEX('④回収ファイル一覧'!$J$4:$J$11,MATCH(A16&amp;"-"&amp;B16,'④回収ファイル一覧'!$K$4:$K$11,0)),"")</f>
        <v/>
      </c>
    </row>
    <row r="17" ht="17.25" customHeight="1" s="41">
      <c r="A17" s="31" t="n">
        <v>1</v>
      </c>
      <c r="B17" s="31" t="n">
        <v>1</v>
      </c>
      <c r="C17" s="29" t="inlineStr">
        <is>
          <t>C1</t>
        </is>
      </c>
      <c r="D17" s="30" t="inlineStr">
        <is>
          <t>咳・くしゃみ・あくび</t>
        </is>
      </c>
      <c r="E17" s="31" t="inlineStr">
        <is>
          <t>記録のみ</t>
        </is>
      </c>
      <c r="F17" s="33" t="n">
        <v>46215</v>
      </c>
      <c r="G17" s="31" t="n">
        <v>3</v>
      </c>
      <c r="H17" s="31" t="n"/>
      <c r="I17" s="24" t="inlineStr">
        <is>
          <t>くしゃみ、あくびに反応</t>
        </is>
      </c>
      <c r="J17" s="18">
        <f t="array" ref="J17">IFERROR(INDEX('④回収ファイル一覧'!$G$4:$G$11,MATCH(A17&amp;"-"&amp;B17,'④回収ファイル一覧'!$K$4:$K$11,0)),"")</f>
        <v/>
      </c>
      <c r="K17" s="18">
        <f t="array" ref="K17">IFERROR(INDEX('④回収ファイル一覧'!$H$4:$H$11,MATCH(A17&amp;"-"&amp;B17,'④回収ファイル一覧'!$K$4:$K$11,0)),"")</f>
        <v/>
      </c>
      <c r="L17" s="18">
        <f t="array" ref="L17">IFERROR(INDEX('④回収ファイル一覧'!$I$4:$I$11,MATCH(A17&amp;"-"&amp;B17,'④回収ファイル一覧'!$K$4:$K$11,0)),"")</f>
        <v/>
      </c>
      <c r="M17" s="18">
        <f t="array" ref="M17">IFERROR(INDEX('④回収ファイル一覧'!$J$4:$J$11,MATCH(A17&amp;"-"&amp;B17,'④回収ファイル一覧'!$K$4:$K$11,0)),"")</f>
        <v/>
      </c>
    </row>
    <row r="18" ht="17.25" customHeight="1" s="41">
      <c r="A18" s="31" t="n">
        <v>1</v>
      </c>
      <c r="B18" s="31" t="n">
        <v>1</v>
      </c>
      <c r="C18" s="29" t="inlineStr">
        <is>
          <t>C2</t>
        </is>
      </c>
      <c r="D18" s="30" t="inlineStr">
        <is>
          <t>笑い続ける30秒</t>
        </is>
      </c>
      <c r="E18" s="19" t="inlineStr">
        <is>
          <t>2回以上反応が正解</t>
        </is>
      </c>
      <c r="F18" s="33" t="n">
        <v>46215</v>
      </c>
      <c r="G18" s="31" t="n">
        <v>4</v>
      </c>
      <c r="H18" s="31" t="n"/>
      <c r="I18" s="32" t="n"/>
      <c r="J18" s="18">
        <f t="array" ref="J18">IFERROR(INDEX('④回収ファイル一覧'!$G$4:$G$11,MATCH(A18&amp;"-"&amp;B18,'④回収ファイル一覧'!$K$4:$K$11,0)),"")</f>
        <v/>
      </c>
      <c r="K18" s="18">
        <f t="array" ref="K18">IFERROR(INDEX('④回収ファイル一覧'!$H$4:$H$11,MATCH(A18&amp;"-"&amp;B18,'④回収ファイル一覧'!$K$4:$K$11,0)),"")</f>
        <v/>
      </c>
      <c r="L18" s="18">
        <f t="array" ref="L18">IFERROR(INDEX('④回収ファイル一覧'!$I$4:$I$11,MATCH(A18&amp;"-"&amp;B18,'④回収ファイル一覧'!$K$4:$K$11,0)),"")</f>
        <v/>
      </c>
      <c r="M18" s="18">
        <f t="array" ref="M18">IFERROR(INDEX('④回収ファイル一覧'!$J$4:$J$11,MATCH(A18&amp;"-"&amp;B18,'④回収ファイル一覧'!$K$4:$K$11,0)),"")</f>
        <v/>
      </c>
    </row>
    <row r="19" ht="33.75" customHeight="1" s="41">
      <c r="A19" s="31" t="n">
        <v>1</v>
      </c>
      <c r="B19" s="31" t="n">
        <v>1</v>
      </c>
      <c r="C19" s="29" t="inlineStr">
        <is>
          <t>C3</t>
        </is>
      </c>
      <c r="D19" s="30" t="inlineStr">
        <is>
          <t>家族側が大声（テスター無言）</t>
        </is>
      </c>
      <c r="E19" s="31" t="inlineStr">
        <is>
          <t>記録のみ</t>
        </is>
      </c>
      <c r="F19" s="33" t="n">
        <v>46215</v>
      </c>
      <c r="G19" s="31" t="n">
        <v>3</v>
      </c>
      <c r="H19" s="31" t="inlineStr">
        <is>
          <t>×</t>
        </is>
      </c>
      <c r="I19" s="32" t="n"/>
      <c r="J19" s="18">
        <f t="array" ref="J19">IFERROR(INDEX('④回収ファイル一覧'!$G$4:$G$11,MATCH(A19&amp;"-"&amp;B19,'④回収ファイル一覧'!$K$4:$K$11,0)),"")</f>
        <v/>
      </c>
      <c r="K19" s="18">
        <f t="array" ref="K19">IFERROR(INDEX('④回収ファイル一覧'!$H$4:$H$11,MATCH(A19&amp;"-"&amp;B19,'④回収ファイル一覧'!$K$4:$K$11,0)),"")</f>
        <v/>
      </c>
      <c r="L19" s="18">
        <f t="array" ref="L19">IFERROR(INDEX('④回収ファイル一覧'!$I$4:$I$11,MATCH(A19&amp;"-"&amp;B19,'④回収ファイル一覧'!$K$4:$K$11,0)),"")</f>
        <v/>
      </c>
      <c r="M19" s="18">
        <f t="array" ref="M19">IFERROR(INDEX('④回収ファイル一覧'!$J$4:$J$11,MATCH(A19&amp;"-"&amp;B19,'④回収ファイル一覧'!$K$4:$K$11,0)),"")</f>
        <v/>
      </c>
    </row>
    <row r="20" ht="17.25" customHeight="1" s="41">
      <c r="A20" s="31" t="n">
        <v>1</v>
      </c>
      <c r="B20" s="31" t="n">
        <v>2</v>
      </c>
      <c r="C20" s="20" t="inlineStr">
        <is>
          <t>A1</t>
        </is>
      </c>
      <c r="D20" s="21" t="inlineStr">
        <is>
          <t>静かにする</t>
        </is>
      </c>
      <c r="E20" s="31" t="inlineStr">
        <is>
          <t>反応しない</t>
        </is>
      </c>
      <c r="F20" s="33" t="n">
        <v>46215</v>
      </c>
      <c r="G20" s="31" t="n">
        <v>0</v>
      </c>
      <c r="H20" s="28" t="inlineStr">
        <is>
          <t>◯</t>
        </is>
      </c>
      <c r="I20" s="32" t="n"/>
      <c r="J20" s="18">
        <f t="array" ref="J20">IFERROR(INDEX('④回収ファイル一覧'!$G$4:$G$11,MATCH(A20&amp;"-"&amp;B20,'④回収ファイル一覧'!$K$4:$K$11,0)),"")</f>
        <v/>
      </c>
      <c r="K20" s="18">
        <f t="array" ref="K20">IFERROR(INDEX('④回収ファイル一覧'!$H$4:$H$11,MATCH(A20&amp;"-"&amp;B20,'④回収ファイル一覧'!$K$4:$K$11,0)),"")</f>
        <v/>
      </c>
      <c r="L20" s="18">
        <f t="array" ref="L20">IFERROR(INDEX('④回収ファイル一覧'!$I$4:$I$11,MATCH(A20&amp;"-"&amp;B20,'④回収ファイル一覧'!$K$4:$K$11,0)),"")</f>
        <v/>
      </c>
      <c r="M20" s="18">
        <f t="array" ref="M20">IFERROR(INDEX('④回収ファイル一覧'!$J$4:$J$11,MATCH(A20&amp;"-"&amp;B20,'④回収ファイル一覧'!$K$4:$K$11,0)),"")</f>
        <v/>
      </c>
    </row>
    <row r="21">
      <c r="A21" s="31" t="n">
        <v>1</v>
      </c>
      <c r="B21" s="31" t="n">
        <v>2</v>
      </c>
      <c r="C21" s="20" t="inlineStr">
        <is>
          <t>A2</t>
        </is>
      </c>
      <c r="D21" s="21" t="inlineStr">
        <is>
          <t>ふつうの雑談（10分）</t>
        </is>
      </c>
      <c r="E21" s="31" t="inlineStr">
        <is>
          <t>反応しない</t>
        </is>
      </c>
      <c r="F21" s="33" t="n">
        <v>46215</v>
      </c>
      <c r="G21" s="31" t="n">
        <v>13</v>
      </c>
      <c r="H21" s="28" t="inlineStr">
        <is>
          <t>×</t>
        </is>
      </c>
      <c r="I21" s="32" t="n"/>
      <c r="J21" s="18">
        <f t="array" ref="J21">IFERROR(INDEX('④回収ファイル一覧'!$G$4:$G$11,MATCH(A21&amp;"-"&amp;B21,'④回収ファイル一覧'!$K$4:$K$11,0)),"")</f>
        <v/>
      </c>
      <c r="K21" s="18">
        <f t="array" ref="K21">IFERROR(INDEX('④回収ファイル一覧'!$H$4:$H$11,MATCH(A21&amp;"-"&amp;B21,'④回収ファイル一覧'!$K$4:$K$11,0)),"")</f>
        <v/>
      </c>
      <c r="L21" s="18">
        <f t="array" ref="L21">IFERROR(INDEX('④回収ファイル一覧'!$I$4:$I$11,MATCH(A21&amp;"-"&amp;B21,'④回収ファイル一覧'!$K$4:$K$11,0)),"")</f>
        <v/>
      </c>
      <c r="M21" s="18">
        <f t="array" ref="M21">IFERROR(INDEX('④回収ファイル一覧'!$J$4:$J$11,MATCH(A21&amp;"-"&amp;B21,'④回収ファイル一覧'!$K$4:$K$11,0)),"")</f>
        <v/>
      </c>
    </row>
    <row r="22" ht="17.25" customHeight="1" s="41">
      <c r="A22" s="31" t="n">
        <v>1</v>
      </c>
      <c r="B22" s="31" t="n">
        <v>2</v>
      </c>
      <c r="C22" s="20" t="inlineStr">
        <is>
          <t>A3</t>
        </is>
      </c>
      <c r="D22" s="21" t="inlineStr">
        <is>
          <t>本を読む</t>
        </is>
      </c>
      <c r="E22" s="31" t="inlineStr">
        <is>
          <t>反応しない</t>
        </is>
      </c>
      <c r="F22" s="33" t="n">
        <v>46215</v>
      </c>
      <c r="G22" s="31" t="n">
        <v>13</v>
      </c>
      <c r="H22" s="28" t="inlineStr">
        <is>
          <t>×</t>
        </is>
      </c>
      <c r="I22" s="32" t="n"/>
      <c r="J22" s="18">
        <f t="array" ref="J22">IFERROR(INDEX('④回収ファイル一覧'!$G$4:$G$11,MATCH(A22&amp;"-"&amp;B22,'④回収ファイル一覧'!$K$4:$K$11,0)),"")</f>
        <v/>
      </c>
      <c r="K22" s="18">
        <f t="array" ref="K22">IFERROR(INDEX('④回収ファイル一覧'!$H$4:$H$11,MATCH(A22&amp;"-"&amp;B22,'④回収ファイル一覧'!$K$4:$K$11,0)),"")</f>
        <v/>
      </c>
      <c r="L22" s="18">
        <f t="array" ref="L22">IFERROR(INDEX('④回収ファイル一覧'!$I$4:$I$11,MATCH(A22&amp;"-"&amp;B22,'④回収ファイル一覧'!$K$4:$K$11,0)),"")</f>
        <v/>
      </c>
      <c r="M22" s="18">
        <f t="array" ref="M22">IFERROR(INDEX('④回収ファイル一覧'!$J$4:$J$11,MATCH(A22&amp;"-"&amp;B22,'④回収ファイル一覧'!$K$4:$K$11,0)),"")</f>
        <v/>
      </c>
    </row>
    <row r="23">
      <c r="A23" s="31" t="n">
        <v>1</v>
      </c>
      <c r="B23" s="31" t="n">
        <v>2</v>
      </c>
      <c r="C23" s="20" t="inlineStr">
        <is>
          <t>A4</t>
        </is>
      </c>
      <c r="D23" s="21" t="inlineStr">
        <is>
          <t>生活音を出す</t>
        </is>
      </c>
      <c r="E23" s="31" t="inlineStr">
        <is>
          <t>反応しない</t>
        </is>
      </c>
      <c r="F23" s="33" t="n">
        <v>46215</v>
      </c>
      <c r="G23" s="31" t="n">
        <v>6</v>
      </c>
      <c r="H23" s="28" t="inlineStr">
        <is>
          <t>×</t>
        </is>
      </c>
      <c r="I23" s="32" t="n"/>
      <c r="J23" s="18">
        <f t="array" ref="J23">IFERROR(INDEX('④回収ファイル一覧'!$G$4:$G$11,MATCH(A23&amp;"-"&amp;B23,'④回収ファイル一覧'!$K$4:$K$11,0)),"")</f>
        <v/>
      </c>
      <c r="K23" s="18">
        <f t="array" ref="K23">IFERROR(INDEX('④回収ファイル一覧'!$H$4:$H$11,MATCH(A23&amp;"-"&amp;B23,'④回収ファイル一覧'!$K$4:$K$11,0)),"")</f>
        <v/>
      </c>
      <c r="L23" s="18">
        <f t="array" ref="L23">IFERROR(INDEX('④回収ファイル一覧'!$I$4:$I$11,MATCH(A23&amp;"-"&amp;B23,'④回収ファイル一覧'!$K$4:$K$11,0)),"")</f>
        <v/>
      </c>
      <c r="M23" s="18">
        <f t="array" ref="M23">IFERROR(INDEX('④回収ファイル一覧'!$J$4:$J$11,MATCH(A23&amp;"-"&amp;B23,'④回収ファイル一覧'!$K$4:$K$11,0)),"")</f>
        <v/>
      </c>
    </row>
    <row r="24" ht="33.75" customHeight="1" s="41">
      <c r="A24" s="31" t="n">
        <v>1</v>
      </c>
      <c r="B24" s="31" t="n">
        <v>2</v>
      </c>
      <c r="C24" s="20" t="inlineStr">
        <is>
          <t>A5</t>
        </is>
      </c>
      <c r="D24" s="21" t="inlineStr">
        <is>
          <t>最初のあいさつ（かけ直し）</t>
        </is>
      </c>
      <c r="E24" s="31" t="inlineStr">
        <is>
          <t>反応しない</t>
        </is>
      </c>
      <c r="F24" s="33" t="n">
        <v>46215</v>
      </c>
      <c r="G24" s="31" t="n">
        <v>1</v>
      </c>
      <c r="H24" s="28" t="inlineStr">
        <is>
          <t>×</t>
        </is>
      </c>
      <c r="I24" s="32" t="n"/>
      <c r="J24" s="18">
        <f t="array" ref="J24">IFERROR(INDEX('④回収ファイル一覧'!$G$4:$G$11,MATCH(A24&amp;"-"&amp;B24,'④回収ファイル一覧'!$K$4:$K$11,0)),"")</f>
        <v/>
      </c>
      <c r="K24" s="18">
        <f t="array" ref="K24">IFERROR(INDEX('④回収ファイル一覧'!$H$4:$H$11,MATCH(A24&amp;"-"&amp;B24,'④回収ファイル一覧'!$K$4:$K$11,0)),"")</f>
        <v/>
      </c>
      <c r="L24" s="18">
        <f t="array" ref="L24">IFERROR(INDEX('④回収ファイル一覧'!$I$4:$I$11,MATCH(A24&amp;"-"&amp;B24,'④回収ファイル一覧'!$K$4:$K$11,0)),"")</f>
        <v/>
      </c>
      <c r="M24" s="18">
        <f t="array" ref="M24">IFERROR(INDEX('④回収ファイル一覧'!$J$4:$J$11,MATCH(A24&amp;"-"&amp;B24,'④回収ファイル一覧'!$K$4:$K$11,0)),"")</f>
        <v/>
      </c>
    </row>
    <row r="25">
      <c r="A25" s="31" t="n">
        <v>1</v>
      </c>
      <c r="B25" s="31" t="n">
        <v>2</v>
      </c>
      <c r="C25" s="20" t="inlineStr">
        <is>
          <t>A6</t>
        </is>
      </c>
      <c r="D25" s="21" t="inlineStr">
        <is>
          <t>立って戻る</t>
        </is>
      </c>
      <c r="E25" s="31" t="inlineStr">
        <is>
          <t>反応しない</t>
        </is>
      </c>
      <c r="F25" s="33" t="n">
        <v>46215</v>
      </c>
      <c r="G25" s="31" t="n">
        <v>10</v>
      </c>
      <c r="H25" s="28" t="inlineStr">
        <is>
          <t>×</t>
        </is>
      </c>
      <c r="I25" s="32" t="n"/>
      <c r="J25" s="18">
        <f t="array" ref="J25">IFERROR(INDEX('④回収ファイル一覧'!$G$4:$G$11,MATCH(A25&amp;"-"&amp;B25,'④回収ファイル一覧'!$K$4:$K$11,0)),"")</f>
        <v/>
      </c>
      <c r="K25" s="18">
        <f t="array" ref="K25">IFERROR(INDEX('④回収ファイル一覧'!$H$4:$H$11,MATCH(A25&amp;"-"&amp;B25,'④回収ファイル一覧'!$K$4:$K$11,0)),"")</f>
        <v/>
      </c>
      <c r="L25" s="18">
        <f t="array" ref="L25">IFERROR(INDEX('④回収ファイル一覧'!$I$4:$I$11,MATCH(A25&amp;"-"&amp;B25,'④回収ファイル一覧'!$K$4:$K$11,0)),"")</f>
        <v/>
      </c>
      <c r="M25" s="18">
        <f t="array" ref="M25">IFERROR(INDEX('④回収ファイル一覧'!$J$4:$J$11,MATCH(A25&amp;"-"&amp;B25,'④回収ファイル一覧'!$K$4:$K$11,0)),"")</f>
        <v/>
      </c>
    </row>
    <row r="26" ht="17.25" customHeight="1" s="41">
      <c r="A26" s="31" t="n">
        <v>1</v>
      </c>
      <c r="B26" s="31" t="n">
        <v>2</v>
      </c>
      <c r="C26" s="26" t="inlineStr">
        <is>
          <t>B1</t>
        </is>
      </c>
      <c r="D26" s="27" t="inlineStr">
        <is>
          <t>声を出して笑う</t>
        </is>
      </c>
      <c r="E26" s="31" t="inlineStr">
        <is>
          <t>反応する</t>
        </is>
      </c>
      <c r="F26" s="33" t="n">
        <v>46215</v>
      </c>
      <c r="G26" s="31" t="n">
        <v>6</v>
      </c>
      <c r="H26" s="28" t="inlineStr">
        <is>
          <t>◯</t>
        </is>
      </c>
      <c r="I26" s="32" t="n"/>
      <c r="J26" s="18">
        <f t="array" ref="J26">IFERROR(INDEX('④回収ファイル一覧'!$G$4:$G$11,MATCH(A26&amp;"-"&amp;B26,'④回収ファイル一覧'!$K$4:$K$11,0)),"")</f>
        <v/>
      </c>
      <c r="K26" s="18">
        <f t="array" ref="K26">IFERROR(INDEX('④回収ファイル一覧'!$H$4:$H$11,MATCH(A26&amp;"-"&amp;B26,'④回収ファイル一覧'!$K$4:$K$11,0)),"")</f>
        <v/>
      </c>
      <c r="L26" s="18">
        <f t="array" ref="L26">IFERROR(INDEX('④回収ファイル一覧'!$I$4:$I$11,MATCH(A26&amp;"-"&amp;B26,'④回収ファイル一覧'!$K$4:$K$11,0)),"")</f>
        <v/>
      </c>
      <c r="M26" s="18">
        <f t="array" ref="M26">IFERROR(INDEX('④回収ファイル一覧'!$J$4:$J$11,MATCH(A26&amp;"-"&amp;B26,'④回収ファイル一覧'!$K$4:$K$11,0)),"")</f>
        <v/>
      </c>
    </row>
    <row r="27" ht="17.25" customHeight="1" s="41">
      <c r="A27" s="31" t="n">
        <v>1</v>
      </c>
      <c r="B27" s="31" t="n">
        <v>2</v>
      </c>
      <c r="C27" s="26" t="inlineStr">
        <is>
          <t>B2</t>
        </is>
      </c>
      <c r="D27" s="27" t="inlineStr">
        <is>
          <t>驚く</t>
        </is>
      </c>
      <c r="E27" s="31" t="inlineStr">
        <is>
          <t>反応する</t>
        </is>
      </c>
      <c r="F27" s="33" t="n">
        <v>46215</v>
      </c>
      <c r="G27" s="31" t="n">
        <v>5</v>
      </c>
      <c r="H27" s="28" t="inlineStr">
        <is>
          <t>◯</t>
        </is>
      </c>
      <c r="I27" s="32" t="n"/>
      <c r="J27" s="18">
        <f t="array" ref="J27">IFERROR(INDEX('④回収ファイル一覧'!$G$4:$G$11,MATCH(A27&amp;"-"&amp;B27,'④回収ファイル一覧'!$K$4:$K$11,0)),"")</f>
        <v/>
      </c>
      <c r="K27" s="18">
        <f t="array" ref="K27">IFERROR(INDEX('④回収ファイル一覧'!$H$4:$H$11,MATCH(A27&amp;"-"&amp;B27,'④回収ファイル一覧'!$K$4:$K$11,0)),"")</f>
        <v/>
      </c>
      <c r="L27" s="18">
        <f t="array" ref="L27">IFERROR(INDEX('④回収ファイル一覧'!$I$4:$I$11,MATCH(A27&amp;"-"&amp;B27,'④回収ファイル一覧'!$K$4:$K$11,0)),"")</f>
        <v/>
      </c>
      <c r="M27" s="18">
        <f t="array" ref="M27">IFERROR(INDEX('④回収ファイル一覧'!$J$4:$J$11,MATCH(A27&amp;"-"&amp;B27,'④回収ファイル一覧'!$K$4:$K$11,0)),"")</f>
        <v/>
      </c>
    </row>
    <row r="28" ht="17.25" customHeight="1" s="41">
      <c r="A28" s="31" t="n">
        <v>1</v>
      </c>
      <c r="B28" s="31" t="n">
        <v>2</v>
      </c>
      <c r="C28" s="26" t="inlineStr">
        <is>
          <t>B3</t>
        </is>
      </c>
      <c r="D28" s="27" t="inlineStr">
        <is>
          <t>怒る</t>
        </is>
      </c>
      <c r="E28" s="31" t="inlineStr">
        <is>
          <t>反応する</t>
        </is>
      </c>
      <c r="F28" s="33" t="n">
        <v>46215</v>
      </c>
      <c r="G28" s="31" t="n">
        <v>3</v>
      </c>
      <c r="H28" s="28" t="inlineStr">
        <is>
          <t>◯</t>
        </is>
      </c>
      <c r="I28" s="32" t="n"/>
      <c r="J28" s="18">
        <f t="array" ref="J28">IFERROR(INDEX('④回収ファイル一覧'!$G$4:$G$11,MATCH(A28&amp;"-"&amp;B28,'④回収ファイル一覧'!$K$4:$K$11,0)),"")</f>
        <v/>
      </c>
      <c r="K28" s="18">
        <f t="array" ref="K28">IFERROR(INDEX('④回収ファイル一覧'!$H$4:$H$11,MATCH(A28&amp;"-"&amp;B28,'④回収ファイル一覧'!$K$4:$K$11,0)),"")</f>
        <v/>
      </c>
      <c r="L28" s="18">
        <f t="array" ref="L28">IFERROR(INDEX('④回収ファイル一覧'!$I$4:$I$11,MATCH(A28&amp;"-"&amp;B28,'④回収ファイル一覧'!$K$4:$K$11,0)),"")</f>
        <v/>
      </c>
      <c r="M28" s="18">
        <f t="array" ref="M28">IFERROR(INDEX('④回収ファイル一覧'!$J$4:$J$11,MATCH(A28&amp;"-"&amp;B28,'④回収ファイル一覧'!$K$4:$K$11,0)),"")</f>
        <v/>
      </c>
    </row>
    <row r="29" ht="33.75" customHeight="1" s="41">
      <c r="A29" s="31" t="n">
        <v>1</v>
      </c>
      <c r="B29" s="31" t="n">
        <v>2</v>
      </c>
      <c r="C29" s="26" t="inlineStr">
        <is>
          <t>B4</t>
        </is>
      </c>
      <c r="D29" s="27" t="inlineStr">
        <is>
          <t>静かに笑う（声量そのまま）</t>
        </is>
      </c>
      <c r="E29" s="31" t="inlineStr">
        <is>
          <t>反応する</t>
        </is>
      </c>
      <c r="F29" s="33" t="n">
        <v>46215</v>
      </c>
      <c r="G29" s="31" t="n">
        <v>2</v>
      </c>
      <c r="H29" s="28" t="inlineStr">
        <is>
          <t>◯</t>
        </is>
      </c>
      <c r="I29" s="32" t="n"/>
      <c r="J29" s="18">
        <f t="array" ref="J29">IFERROR(INDEX('④回収ファイル一覧'!$G$4:$G$11,MATCH(A29&amp;"-"&amp;B29,'④回収ファイル一覧'!$K$4:$K$11,0)),"")</f>
        <v/>
      </c>
      <c r="K29" s="18">
        <f t="array" ref="K29">IFERROR(INDEX('④回収ファイル一覧'!$H$4:$H$11,MATCH(A29&amp;"-"&amp;B29,'④回収ファイル一覧'!$K$4:$K$11,0)),"")</f>
        <v/>
      </c>
      <c r="L29" s="18">
        <f t="array" ref="L29">IFERROR(INDEX('④回収ファイル一覧'!$I$4:$I$11,MATCH(A29&amp;"-"&amp;B29,'④回収ファイル一覧'!$K$4:$K$11,0)),"")</f>
        <v/>
      </c>
      <c r="M29" s="18">
        <f t="array" ref="M29">IFERROR(INDEX('④回収ファイル一覧'!$J$4:$J$11,MATCH(A29&amp;"-"&amp;B29,'④回収ファイル一覧'!$K$4:$K$11,0)),"")</f>
        <v/>
      </c>
    </row>
    <row r="30" ht="17.25" customHeight="1" s="41">
      <c r="A30" s="31" t="n">
        <v>1</v>
      </c>
      <c r="B30" s="31" t="n">
        <v>2</v>
      </c>
      <c r="C30" s="26" t="inlineStr">
        <is>
          <t>B5</t>
        </is>
      </c>
      <c r="D30" s="27" t="inlineStr">
        <is>
          <t>ほめ言葉（ふだんの声）</t>
        </is>
      </c>
      <c r="E30" s="31" t="inlineStr">
        <is>
          <t>反応する</t>
        </is>
      </c>
      <c r="F30" s="33" t="n">
        <v>46215</v>
      </c>
      <c r="G30" s="31" t="n">
        <v>4</v>
      </c>
      <c r="H30" s="28" t="inlineStr">
        <is>
          <t>◯</t>
        </is>
      </c>
      <c r="I30" s="32" t="n"/>
      <c r="J30" s="18">
        <f t="array" ref="J30">IFERROR(INDEX('④回収ファイル一覧'!$G$4:$G$11,MATCH(A30&amp;"-"&amp;B30,'④回収ファイル一覧'!$K$4:$K$11,0)),"")</f>
        <v/>
      </c>
      <c r="K30" s="18">
        <f t="array" ref="K30">IFERROR(INDEX('④回収ファイル一覧'!$H$4:$H$11,MATCH(A30&amp;"-"&amp;B30,'④回収ファイル一覧'!$K$4:$K$11,0)),"")</f>
        <v/>
      </c>
      <c r="L30" s="18">
        <f t="array" ref="L30">IFERROR(INDEX('④回収ファイル一覧'!$I$4:$I$11,MATCH(A30&amp;"-"&amp;B30,'④回収ファイル一覧'!$K$4:$K$11,0)),"")</f>
        <v/>
      </c>
      <c r="M30" s="18">
        <f t="array" ref="M30">IFERROR(INDEX('④回収ファイル一覧'!$J$4:$J$11,MATCH(A30&amp;"-"&amp;B30,'④回収ファイル一覧'!$K$4:$K$11,0)),"")</f>
        <v/>
      </c>
    </row>
    <row r="31" ht="17.25" customHeight="1" s="41">
      <c r="A31" s="31" t="n">
        <v>1</v>
      </c>
      <c r="B31" s="31" t="n">
        <v>2</v>
      </c>
      <c r="C31" s="26" t="inlineStr">
        <is>
          <t>B6</t>
        </is>
      </c>
      <c r="D31" s="27" t="inlineStr">
        <is>
          <t>感極まる</t>
        </is>
      </c>
      <c r="E31" s="31" t="inlineStr">
        <is>
          <t>反応する</t>
        </is>
      </c>
      <c r="F31" s="33" t="n">
        <v>46215</v>
      </c>
      <c r="G31" s="31" t="n">
        <v>4</v>
      </c>
      <c r="H31" s="28" t="inlineStr">
        <is>
          <t>◯</t>
        </is>
      </c>
      <c r="I31" s="32" t="n"/>
      <c r="J31" s="18">
        <f t="array" ref="J31">IFERROR(INDEX('④回収ファイル一覧'!$G$4:$G$11,MATCH(A31&amp;"-"&amp;B31,'④回収ファイル一覧'!$K$4:$K$11,0)),"")</f>
        <v/>
      </c>
      <c r="K31" s="18">
        <f t="array" ref="K31">IFERROR(INDEX('④回収ファイル一覧'!$H$4:$H$11,MATCH(A31&amp;"-"&amp;B31,'④回収ファイル一覧'!$K$4:$K$11,0)),"")</f>
        <v/>
      </c>
      <c r="L31" s="18">
        <f t="array" ref="L31">IFERROR(INDEX('④回収ファイル一覧'!$I$4:$I$11,MATCH(A31&amp;"-"&amp;B31,'④回収ファイル一覧'!$K$4:$K$11,0)),"")</f>
        <v/>
      </c>
      <c r="M31" s="18">
        <f t="array" ref="M31">IFERROR(INDEX('④回収ファイル一覧'!$J$4:$J$11,MATCH(A31&amp;"-"&amp;B31,'④回収ファイル一覧'!$K$4:$K$11,0)),"")</f>
        <v/>
      </c>
    </row>
    <row r="32" ht="17.25" customHeight="1" s="41">
      <c r="A32" s="31" t="n">
        <v>1</v>
      </c>
      <c r="B32" s="31" t="n">
        <v>2</v>
      </c>
      <c r="C32" s="29" t="inlineStr">
        <is>
          <t>C1</t>
        </is>
      </c>
      <c r="D32" s="30" t="inlineStr">
        <is>
          <t>咳・くしゃみ・あくび</t>
        </is>
      </c>
      <c r="E32" s="31" t="inlineStr">
        <is>
          <t>記録のみ</t>
        </is>
      </c>
      <c r="F32" s="33" t="n">
        <v>46215</v>
      </c>
      <c r="G32" s="31" t="n">
        <v>2</v>
      </c>
      <c r="H32" s="31" t="n"/>
      <c r="I32" s="32" t="inlineStr">
        <is>
          <t>咳、くしゃみ</t>
        </is>
      </c>
      <c r="J32" s="18">
        <f t="array" ref="J32">IFERROR(INDEX('④回収ファイル一覧'!$G$4:$G$11,MATCH(A32&amp;"-"&amp;B32,'④回収ファイル一覧'!$K$4:$K$11,0)),"")</f>
        <v/>
      </c>
      <c r="K32" s="18">
        <f t="array" ref="K32">IFERROR(INDEX('④回収ファイル一覧'!$H$4:$H$11,MATCH(A32&amp;"-"&amp;B32,'④回収ファイル一覧'!$K$4:$K$11,0)),"")</f>
        <v/>
      </c>
      <c r="L32" s="18">
        <f t="array" ref="L32">IFERROR(INDEX('④回収ファイル一覧'!$I$4:$I$11,MATCH(A32&amp;"-"&amp;B32,'④回収ファイル一覧'!$K$4:$K$11,0)),"")</f>
        <v/>
      </c>
      <c r="M32" s="18">
        <f t="array" ref="M32">IFERROR(INDEX('④回収ファイル一覧'!$J$4:$J$11,MATCH(A32&amp;"-"&amp;B32,'④回収ファイル一覧'!$K$4:$K$11,0)),"")</f>
        <v/>
      </c>
    </row>
    <row r="33" ht="17.25" customHeight="1" s="41">
      <c r="A33" s="31" t="n">
        <v>1</v>
      </c>
      <c r="B33" s="31" t="n">
        <v>2</v>
      </c>
      <c r="C33" s="29" t="inlineStr">
        <is>
          <t>C2</t>
        </is>
      </c>
      <c r="D33" s="30" t="inlineStr">
        <is>
          <t>笑い続ける30秒</t>
        </is>
      </c>
      <c r="E33" s="19" t="inlineStr">
        <is>
          <t>2回以上反応が正解</t>
        </is>
      </c>
      <c r="F33" s="33" t="n">
        <v>46215</v>
      </c>
      <c r="G33" s="31" t="n">
        <v>5</v>
      </c>
      <c r="H33" s="31" t="n"/>
      <c r="I33" s="32" t="n"/>
      <c r="J33" s="18">
        <f t="array" ref="J33">IFERROR(INDEX('④回収ファイル一覧'!$G$4:$G$11,MATCH(A33&amp;"-"&amp;B33,'④回収ファイル一覧'!$K$4:$K$11,0)),"")</f>
        <v/>
      </c>
      <c r="K33" s="18">
        <f t="array" ref="K33">IFERROR(INDEX('④回収ファイル一覧'!$H$4:$H$11,MATCH(A33&amp;"-"&amp;B33,'④回収ファイル一覧'!$K$4:$K$11,0)),"")</f>
        <v/>
      </c>
      <c r="L33" s="18">
        <f t="array" ref="L33">IFERROR(INDEX('④回収ファイル一覧'!$I$4:$I$11,MATCH(A33&amp;"-"&amp;B33,'④回収ファイル一覧'!$K$4:$K$11,0)),"")</f>
        <v/>
      </c>
      <c r="M33" s="18">
        <f t="array" ref="M33">IFERROR(INDEX('④回収ファイル一覧'!$J$4:$J$11,MATCH(A33&amp;"-"&amp;B33,'④回収ファイル一覧'!$K$4:$K$11,0)),"")</f>
        <v/>
      </c>
    </row>
    <row r="34" ht="33.75" customHeight="1" s="41">
      <c r="A34" s="31" t="n">
        <v>1</v>
      </c>
      <c r="B34" s="31" t="n">
        <v>2</v>
      </c>
      <c r="C34" s="29" t="inlineStr">
        <is>
          <t>C3</t>
        </is>
      </c>
      <c r="D34" s="30" t="inlineStr">
        <is>
          <t>家族側が大声（テスター無言）</t>
        </is>
      </c>
      <c r="E34" s="31" t="inlineStr">
        <is>
          <t>記録のみ</t>
        </is>
      </c>
      <c r="F34" s="33" t="n">
        <v>46215</v>
      </c>
      <c r="G34" s="31" t="n">
        <v>3</v>
      </c>
      <c r="H34" s="31" t="inlineStr">
        <is>
          <t>×</t>
        </is>
      </c>
      <c r="I34" s="32" t="n"/>
      <c r="J34" s="18">
        <f t="array" ref="J34">IFERROR(INDEX('④回収ファイル一覧'!$G$4:$G$11,MATCH(A34&amp;"-"&amp;B34,'④回収ファイル一覧'!$K$4:$K$11,0)),"")</f>
        <v/>
      </c>
      <c r="K34" s="18">
        <f t="array" ref="K34">IFERROR(INDEX('④回収ファイル一覧'!$H$4:$H$11,MATCH(A34&amp;"-"&amp;B34,'④回収ファイル一覧'!$K$4:$K$11,0)),"")</f>
        <v/>
      </c>
      <c r="L34" s="18">
        <f t="array" ref="L34">IFERROR(INDEX('④回収ファイル一覧'!$I$4:$I$11,MATCH(A34&amp;"-"&amp;B34,'④回収ファイル一覧'!$K$4:$K$11,0)),"")</f>
        <v/>
      </c>
      <c r="M34" s="18">
        <f t="array" ref="M34">IFERROR(INDEX('④回収ファイル一覧'!$J$4:$J$11,MATCH(A34&amp;"-"&amp;B34,'④回収ファイル一覧'!$K$4:$K$11,0)),"")</f>
        <v/>
      </c>
    </row>
    <row r="35" ht="17.25" customHeight="1" s="41">
      <c r="A35" s="31" t="n">
        <v>1</v>
      </c>
      <c r="B35" s="31" t="n">
        <v>3</v>
      </c>
      <c r="C35" s="20" t="inlineStr">
        <is>
          <t>A1</t>
        </is>
      </c>
      <c r="D35" s="21" t="inlineStr">
        <is>
          <t>静かにする</t>
        </is>
      </c>
      <c r="E35" s="31" t="inlineStr">
        <is>
          <t>反応しない</t>
        </is>
      </c>
      <c r="F35" s="33" t="n">
        <v>46219</v>
      </c>
      <c r="G35" s="31" t="n">
        <v>0</v>
      </c>
      <c r="H35" s="28" t="inlineStr">
        <is>
          <t>◯</t>
        </is>
      </c>
      <c r="I35" s="32" t="n"/>
      <c r="J35" s="18">
        <f t="array" ref="J35">IFERROR(INDEX('④回収ファイル一覧'!$G$4:$G$11,MATCH(A35&amp;"-"&amp;B35,'④回収ファイル一覧'!$K$4:$K$11,0)),"")</f>
        <v/>
      </c>
      <c r="K35" s="18">
        <f t="array" ref="K35">IFERROR(INDEX('④回収ファイル一覧'!$H$4:$H$11,MATCH(A35&amp;"-"&amp;B35,'④回収ファイル一覧'!$K$4:$K$11,0)),"")</f>
        <v/>
      </c>
      <c r="L35" s="18">
        <f t="array" ref="L35">IFERROR(INDEX('④回収ファイル一覧'!$I$4:$I$11,MATCH(A35&amp;"-"&amp;B35,'④回収ファイル一覧'!$K$4:$K$11,0)),"")</f>
        <v/>
      </c>
      <c r="M35" s="18">
        <f t="array" ref="M35">IFERROR(INDEX('④回収ファイル一覧'!$J$4:$J$11,MATCH(A35&amp;"-"&amp;B35,'④回収ファイル一覧'!$K$4:$K$11,0)),"")</f>
        <v/>
      </c>
    </row>
    <row r="36" ht="17.25" customHeight="1" s="41">
      <c r="A36" s="31" t="n">
        <v>1</v>
      </c>
      <c r="B36" s="31" t="n">
        <v>3</v>
      </c>
      <c r="C36" s="20" t="inlineStr">
        <is>
          <t>A2</t>
        </is>
      </c>
      <c r="D36" s="21" t="inlineStr">
        <is>
          <t>ふつうの雑談（10分）</t>
        </is>
      </c>
      <c r="E36" s="31" t="inlineStr">
        <is>
          <t>反応しない</t>
        </is>
      </c>
      <c r="F36" s="33" t="n">
        <v>46219</v>
      </c>
      <c r="G36" s="31" t="n">
        <v>11</v>
      </c>
      <c r="H36" s="28" t="inlineStr">
        <is>
          <t>×</t>
        </is>
      </c>
      <c r="I36" s="32" t="n"/>
      <c r="J36" s="18">
        <f t="array" ref="J36">IFERROR(INDEX('④回収ファイル一覧'!$G$4:$G$11,MATCH(A36&amp;"-"&amp;B36,'④回収ファイル一覧'!$K$4:$K$11,0)),"")</f>
        <v/>
      </c>
      <c r="K36" s="18">
        <f t="array" ref="K36">IFERROR(INDEX('④回収ファイル一覧'!$H$4:$H$11,MATCH(A36&amp;"-"&amp;B36,'④回収ファイル一覧'!$K$4:$K$11,0)),"")</f>
        <v/>
      </c>
      <c r="L36" s="18">
        <f t="array" ref="L36">IFERROR(INDEX('④回収ファイル一覧'!$I$4:$I$11,MATCH(A36&amp;"-"&amp;B36,'④回収ファイル一覧'!$K$4:$K$11,0)),"")</f>
        <v/>
      </c>
      <c r="M36" s="18">
        <f t="array" ref="M36">IFERROR(INDEX('④回収ファイル一覧'!$J$4:$J$11,MATCH(A36&amp;"-"&amp;B36,'④回収ファイル一覧'!$K$4:$K$11,0)),"")</f>
        <v/>
      </c>
    </row>
    <row r="37" ht="17.25" customHeight="1" s="41">
      <c r="A37" s="31" t="n">
        <v>1</v>
      </c>
      <c r="B37" s="31" t="n">
        <v>3</v>
      </c>
      <c r="C37" s="20" t="inlineStr">
        <is>
          <t>A3</t>
        </is>
      </c>
      <c r="D37" s="21" t="inlineStr">
        <is>
          <t>本を読む</t>
        </is>
      </c>
      <c r="E37" s="31" t="inlineStr">
        <is>
          <t>反応しない</t>
        </is>
      </c>
      <c r="F37" s="33" t="n">
        <v>46219</v>
      </c>
      <c r="G37" s="31" t="n">
        <v>9</v>
      </c>
      <c r="H37" s="28" t="inlineStr">
        <is>
          <t>×</t>
        </is>
      </c>
      <c r="I37" s="32" t="n"/>
      <c r="J37" s="18">
        <f t="array" ref="J37">IFERROR(INDEX('④回収ファイル一覧'!$G$4:$G$11,MATCH(A37&amp;"-"&amp;B37,'④回収ファイル一覧'!$K$4:$K$11,0)),"")</f>
        <v/>
      </c>
      <c r="K37" s="18">
        <f t="array" ref="K37">IFERROR(INDEX('④回収ファイル一覧'!$H$4:$H$11,MATCH(A37&amp;"-"&amp;B37,'④回収ファイル一覧'!$K$4:$K$11,0)),"")</f>
        <v/>
      </c>
      <c r="L37" s="18">
        <f t="array" ref="L37">IFERROR(INDEX('④回収ファイル一覧'!$I$4:$I$11,MATCH(A37&amp;"-"&amp;B37,'④回収ファイル一覧'!$K$4:$K$11,0)),"")</f>
        <v/>
      </c>
      <c r="M37" s="18">
        <f t="array" ref="M37">IFERROR(INDEX('④回収ファイル一覧'!$J$4:$J$11,MATCH(A37&amp;"-"&amp;B37,'④回収ファイル一覧'!$K$4:$K$11,0)),"")</f>
        <v/>
      </c>
    </row>
    <row r="38" ht="17.25" customHeight="1" s="41">
      <c r="A38" s="31" t="n">
        <v>1</v>
      </c>
      <c r="B38" s="31" t="n">
        <v>3</v>
      </c>
      <c r="C38" s="20" t="inlineStr">
        <is>
          <t>A4</t>
        </is>
      </c>
      <c r="D38" s="21" t="inlineStr">
        <is>
          <t>生活音を出す</t>
        </is>
      </c>
      <c r="E38" s="31" t="inlineStr">
        <is>
          <t>反応しない</t>
        </is>
      </c>
      <c r="F38" s="33" t="n">
        <v>46219</v>
      </c>
      <c r="G38" s="31" t="n">
        <v>9</v>
      </c>
      <c r="H38" s="28" t="inlineStr">
        <is>
          <t>×</t>
        </is>
      </c>
      <c r="I38" s="32" t="n"/>
      <c r="J38" s="18">
        <f t="array" ref="J38">IFERROR(INDEX('④回収ファイル一覧'!$G$4:$G$11,MATCH(A38&amp;"-"&amp;B38,'④回収ファイル一覧'!$K$4:$K$11,0)),"")</f>
        <v/>
      </c>
      <c r="K38" s="18">
        <f t="array" ref="K38">IFERROR(INDEX('④回収ファイル一覧'!$H$4:$H$11,MATCH(A38&amp;"-"&amp;B38,'④回収ファイル一覧'!$K$4:$K$11,0)),"")</f>
        <v/>
      </c>
      <c r="L38" s="18">
        <f t="array" ref="L38">IFERROR(INDEX('④回収ファイル一覧'!$I$4:$I$11,MATCH(A38&amp;"-"&amp;B38,'④回収ファイル一覧'!$K$4:$K$11,0)),"")</f>
        <v/>
      </c>
      <c r="M38" s="18">
        <f t="array" ref="M38">IFERROR(INDEX('④回収ファイル一覧'!$J$4:$J$11,MATCH(A38&amp;"-"&amp;B38,'④回収ファイル一覧'!$K$4:$K$11,0)),"")</f>
        <v/>
      </c>
    </row>
    <row r="39" ht="33.75" customHeight="1" s="41">
      <c r="A39" s="31" t="n">
        <v>1</v>
      </c>
      <c r="B39" s="31" t="n">
        <v>3</v>
      </c>
      <c r="C39" s="20" t="inlineStr">
        <is>
          <t>A5</t>
        </is>
      </c>
      <c r="D39" s="21" t="inlineStr">
        <is>
          <t>最初のあいさつ（かけ直し）</t>
        </is>
      </c>
      <c r="E39" s="31" t="inlineStr">
        <is>
          <t>反応しない</t>
        </is>
      </c>
      <c r="F39" s="33" t="n">
        <v>46219</v>
      </c>
      <c r="G39" s="31" t="n">
        <v>3</v>
      </c>
      <c r="H39" s="28" t="inlineStr">
        <is>
          <t>×</t>
        </is>
      </c>
      <c r="I39" s="32" t="n"/>
      <c r="J39" s="18">
        <f t="array" ref="J39">IFERROR(INDEX('④回収ファイル一覧'!$G$4:$G$11,MATCH(A39&amp;"-"&amp;B39,'④回収ファイル一覧'!$K$4:$K$11,0)),"")</f>
        <v/>
      </c>
      <c r="K39" s="18">
        <f t="array" ref="K39">IFERROR(INDEX('④回収ファイル一覧'!$H$4:$H$11,MATCH(A39&amp;"-"&amp;B39,'④回収ファイル一覧'!$K$4:$K$11,0)),"")</f>
        <v/>
      </c>
      <c r="L39" s="18">
        <f t="array" ref="L39">IFERROR(INDEX('④回収ファイル一覧'!$I$4:$I$11,MATCH(A39&amp;"-"&amp;B39,'④回収ファイル一覧'!$K$4:$K$11,0)),"")</f>
        <v/>
      </c>
      <c r="M39" s="18">
        <f t="array" ref="M39">IFERROR(INDEX('④回収ファイル一覧'!$J$4:$J$11,MATCH(A39&amp;"-"&amp;B39,'④回収ファイル一覧'!$K$4:$K$11,0)),"")</f>
        <v/>
      </c>
    </row>
    <row r="40" ht="17.25" customHeight="1" s="41">
      <c r="A40" s="31" t="n">
        <v>1</v>
      </c>
      <c r="B40" s="31" t="n">
        <v>3</v>
      </c>
      <c r="C40" s="20" t="inlineStr">
        <is>
          <t>A6</t>
        </is>
      </c>
      <c r="D40" s="21" t="inlineStr">
        <is>
          <t>立って戻る</t>
        </is>
      </c>
      <c r="E40" s="31" t="inlineStr">
        <is>
          <t>反応しない</t>
        </is>
      </c>
      <c r="F40" s="33" t="n">
        <v>46219</v>
      </c>
      <c r="G40" s="31" t="n">
        <v>10</v>
      </c>
      <c r="H40" s="28" t="inlineStr">
        <is>
          <t>×</t>
        </is>
      </c>
      <c r="I40" s="32" t="n"/>
      <c r="J40" s="18">
        <f t="array" ref="J40">IFERROR(INDEX('④回収ファイル一覧'!$G$4:$G$11,MATCH(A40&amp;"-"&amp;B40,'④回収ファイル一覧'!$K$4:$K$11,0)),"")</f>
        <v/>
      </c>
      <c r="K40" s="18">
        <f t="array" ref="K40">IFERROR(INDEX('④回収ファイル一覧'!$H$4:$H$11,MATCH(A40&amp;"-"&amp;B40,'④回収ファイル一覧'!$K$4:$K$11,0)),"")</f>
        <v/>
      </c>
      <c r="L40" s="18">
        <f t="array" ref="L40">IFERROR(INDEX('④回収ファイル一覧'!$I$4:$I$11,MATCH(A40&amp;"-"&amp;B40,'④回収ファイル一覧'!$K$4:$K$11,0)),"")</f>
        <v/>
      </c>
      <c r="M40" s="18">
        <f t="array" ref="M40">IFERROR(INDEX('④回収ファイル一覧'!$J$4:$J$11,MATCH(A40&amp;"-"&amp;B40,'④回収ファイル一覧'!$K$4:$K$11,0)),"")</f>
        <v/>
      </c>
    </row>
    <row r="41" ht="17.25" customHeight="1" s="41">
      <c r="A41" s="31" t="n">
        <v>1</v>
      </c>
      <c r="B41" s="31" t="n">
        <v>3</v>
      </c>
      <c r="C41" s="26" t="inlineStr">
        <is>
          <t>B1</t>
        </is>
      </c>
      <c r="D41" s="27" t="inlineStr">
        <is>
          <t>声を出して笑う</t>
        </is>
      </c>
      <c r="E41" s="31" t="inlineStr">
        <is>
          <t>反応する</t>
        </is>
      </c>
      <c r="F41" s="33" t="n">
        <v>46219</v>
      </c>
      <c r="G41" s="31" t="n">
        <v>5</v>
      </c>
      <c r="H41" s="28" t="inlineStr">
        <is>
          <t>◯</t>
        </is>
      </c>
      <c r="I41" s="32" t="n"/>
      <c r="J41" s="18">
        <f t="array" ref="J41">IFERROR(INDEX('④回収ファイル一覧'!$G$4:$G$11,MATCH(A41&amp;"-"&amp;B41,'④回収ファイル一覧'!$K$4:$K$11,0)),"")</f>
        <v/>
      </c>
      <c r="K41" s="18">
        <f t="array" ref="K41">IFERROR(INDEX('④回収ファイル一覧'!$H$4:$H$11,MATCH(A41&amp;"-"&amp;B41,'④回収ファイル一覧'!$K$4:$K$11,0)),"")</f>
        <v/>
      </c>
      <c r="L41" s="18">
        <f t="array" ref="L41">IFERROR(INDEX('④回収ファイル一覧'!$I$4:$I$11,MATCH(A41&amp;"-"&amp;B41,'④回収ファイル一覧'!$K$4:$K$11,0)),"")</f>
        <v/>
      </c>
      <c r="M41" s="18">
        <f t="array" ref="M41">IFERROR(INDEX('④回収ファイル一覧'!$J$4:$J$11,MATCH(A41&amp;"-"&amp;B41,'④回収ファイル一覧'!$K$4:$K$11,0)),"")</f>
        <v/>
      </c>
    </row>
    <row r="42" ht="17.25" customHeight="1" s="41">
      <c r="A42" s="31" t="n">
        <v>1</v>
      </c>
      <c r="B42" s="31" t="n">
        <v>3</v>
      </c>
      <c r="C42" s="26" t="inlineStr">
        <is>
          <t>B2</t>
        </is>
      </c>
      <c r="D42" s="27" t="inlineStr">
        <is>
          <t>驚く</t>
        </is>
      </c>
      <c r="E42" s="31" t="inlineStr">
        <is>
          <t>反応する</t>
        </is>
      </c>
      <c r="F42" s="33" t="n">
        <v>46219</v>
      </c>
      <c r="G42" s="31" t="n">
        <v>3</v>
      </c>
      <c r="H42" s="28" t="inlineStr">
        <is>
          <t>◯</t>
        </is>
      </c>
      <c r="I42" s="32" t="n"/>
      <c r="J42" s="18">
        <f t="array" ref="J42">IFERROR(INDEX('④回収ファイル一覧'!$G$4:$G$11,MATCH(A42&amp;"-"&amp;B42,'④回収ファイル一覧'!$K$4:$K$11,0)),"")</f>
        <v/>
      </c>
      <c r="K42" s="18">
        <f t="array" ref="K42">IFERROR(INDEX('④回収ファイル一覧'!$H$4:$H$11,MATCH(A42&amp;"-"&amp;B42,'④回収ファイル一覧'!$K$4:$K$11,0)),"")</f>
        <v/>
      </c>
      <c r="L42" s="18">
        <f t="array" ref="L42">IFERROR(INDEX('④回収ファイル一覧'!$I$4:$I$11,MATCH(A42&amp;"-"&amp;B42,'④回収ファイル一覧'!$K$4:$K$11,0)),"")</f>
        <v/>
      </c>
      <c r="M42" s="18">
        <f t="array" ref="M42">IFERROR(INDEX('④回収ファイル一覧'!$J$4:$J$11,MATCH(A42&amp;"-"&amp;B42,'④回収ファイル一覧'!$K$4:$K$11,0)),"")</f>
        <v/>
      </c>
    </row>
    <row r="43" ht="17.25" customHeight="1" s="41">
      <c r="A43" s="31" t="n">
        <v>1</v>
      </c>
      <c r="B43" s="31" t="n">
        <v>3</v>
      </c>
      <c r="C43" s="26" t="inlineStr">
        <is>
          <t>B3</t>
        </is>
      </c>
      <c r="D43" s="27" t="inlineStr">
        <is>
          <t>怒る</t>
        </is>
      </c>
      <c r="E43" s="31" t="inlineStr">
        <is>
          <t>反応する</t>
        </is>
      </c>
      <c r="F43" s="33" t="n">
        <v>46219</v>
      </c>
      <c r="G43" s="31" t="n">
        <v>2</v>
      </c>
      <c r="H43" s="28" t="inlineStr">
        <is>
          <t>◯</t>
        </is>
      </c>
      <c r="I43" s="32" t="n"/>
      <c r="J43" s="18">
        <f t="array" ref="J43">IFERROR(INDEX('④回収ファイル一覧'!$G$4:$G$11,MATCH(A43&amp;"-"&amp;B43,'④回収ファイル一覧'!$K$4:$K$11,0)),"")</f>
        <v/>
      </c>
      <c r="K43" s="18">
        <f t="array" ref="K43">IFERROR(INDEX('④回収ファイル一覧'!$H$4:$H$11,MATCH(A43&amp;"-"&amp;B43,'④回収ファイル一覧'!$K$4:$K$11,0)),"")</f>
        <v/>
      </c>
      <c r="L43" s="18">
        <f t="array" ref="L43">IFERROR(INDEX('④回収ファイル一覧'!$I$4:$I$11,MATCH(A43&amp;"-"&amp;B43,'④回収ファイル一覧'!$K$4:$K$11,0)),"")</f>
        <v/>
      </c>
      <c r="M43" s="18">
        <f t="array" ref="M43">IFERROR(INDEX('④回収ファイル一覧'!$J$4:$J$11,MATCH(A43&amp;"-"&amp;B43,'④回収ファイル一覧'!$K$4:$K$11,0)),"")</f>
        <v/>
      </c>
    </row>
    <row r="44" ht="33.75" customHeight="1" s="41">
      <c r="A44" s="31" t="n">
        <v>1</v>
      </c>
      <c r="B44" s="31" t="n">
        <v>3</v>
      </c>
      <c r="C44" s="26" t="inlineStr">
        <is>
          <t>B4</t>
        </is>
      </c>
      <c r="D44" s="27" t="inlineStr">
        <is>
          <t>静かに笑う（声量そのまま）</t>
        </is>
      </c>
      <c r="E44" s="31" t="inlineStr">
        <is>
          <t>反応する</t>
        </is>
      </c>
      <c r="F44" s="33" t="n">
        <v>46219</v>
      </c>
      <c r="G44" s="31" t="n">
        <v>2</v>
      </c>
      <c r="H44" s="28" t="inlineStr">
        <is>
          <t>◯</t>
        </is>
      </c>
      <c r="I44" s="32" t="n"/>
      <c r="J44" s="18">
        <f t="array" ref="J44">IFERROR(INDEX('④回収ファイル一覧'!$G$4:$G$11,MATCH(A44&amp;"-"&amp;B44,'④回収ファイル一覧'!$K$4:$K$11,0)),"")</f>
        <v/>
      </c>
      <c r="K44" s="18">
        <f t="array" ref="K44">IFERROR(INDEX('④回収ファイル一覧'!$H$4:$H$11,MATCH(A44&amp;"-"&amp;B44,'④回収ファイル一覧'!$K$4:$K$11,0)),"")</f>
        <v/>
      </c>
      <c r="L44" s="18">
        <f t="array" ref="L44">IFERROR(INDEX('④回収ファイル一覧'!$I$4:$I$11,MATCH(A44&amp;"-"&amp;B44,'④回収ファイル一覧'!$K$4:$K$11,0)),"")</f>
        <v/>
      </c>
      <c r="M44" s="18">
        <f t="array" ref="M44">IFERROR(INDEX('④回収ファイル一覧'!$J$4:$J$11,MATCH(A44&amp;"-"&amp;B44,'④回収ファイル一覧'!$K$4:$K$11,0)),"")</f>
        <v/>
      </c>
    </row>
    <row r="45" ht="17.25" customHeight="1" s="41">
      <c r="A45" s="31" t="n">
        <v>1</v>
      </c>
      <c r="B45" s="31" t="n">
        <v>3</v>
      </c>
      <c r="C45" s="26" t="inlineStr">
        <is>
          <t>B5</t>
        </is>
      </c>
      <c r="D45" s="27" t="inlineStr">
        <is>
          <t>ほめ言葉（ふだんの声）</t>
        </is>
      </c>
      <c r="E45" s="31" t="inlineStr">
        <is>
          <t>反応する</t>
        </is>
      </c>
      <c r="F45" s="33" t="n">
        <v>46219</v>
      </c>
      <c r="G45" s="31" t="n">
        <v>4</v>
      </c>
      <c r="H45" s="28" t="inlineStr">
        <is>
          <t>◯</t>
        </is>
      </c>
      <c r="I45" s="32" t="n"/>
      <c r="J45" s="18">
        <f t="array" ref="J45">IFERROR(INDEX('④回収ファイル一覧'!$G$4:$G$11,MATCH(A45&amp;"-"&amp;B45,'④回収ファイル一覧'!$K$4:$K$11,0)),"")</f>
        <v/>
      </c>
      <c r="K45" s="18">
        <f t="array" ref="K45">IFERROR(INDEX('④回収ファイル一覧'!$H$4:$H$11,MATCH(A45&amp;"-"&amp;B45,'④回収ファイル一覧'!$K$4:$K$11,0)),"")</f>
        <v/>
      </c>
      <c r="L45" s="18">
        <f t="array" ref="L45">IFERROR(INDEX('④回収ファイル一覧'!$I$4:$I$11,MATCH(A45&amp;"-"&amp;B45,'④回収ファイル一覧'!$K$4:$K$11,0)),"")</f>
        <v/>
      </c>
      <c r="M45" s="18">
        <f t="array" ref="M45">IFERROR(INDEX('④回収ファイル一覧'!$J$4:$J$11,MATCH(A45&amp;"-"&amp;B45,'④回収ファイル一覧'!$K$4:$K$11,0)),"")</f>
        <v/>
      </c>
    </row>
    <row r="46" ht="17.25" customHeight="1" s="41">
      <c r="A46" s="31" t="n">
        <v>1</v>
      </c>
      <c r="B46" s="31" t="n">
        <v>3</v>
      </c>
      <c r="C46" s="26" t="inlineStr">
        <is>
          <t>B6</t>
        </is>
      </c>
      <c r="D46" s="27" t="inlineStr">
        <is>
          <t>感極まる</t>
        </is>
      </c>
      <c r="E46" s="31" t="inlineStr">
        <is>
          <t>反応する</t>
        </is>
      </c>
      <c r="F46" s="33" t="n">
        <v>46219</v>
      </c>
      <c r="G46" s="31" t="n">
        <v>3</v>
      </c>
      <c r="H46" s="28" t="inlineStr">
        <is>
          <t>◯</t>
        </is>
      </c>
      <c r="I46" s="32" t="n"/>
      <c r="J46" s="18">
        <f t="array" ref="J46">IFERROR(INDEX('④回収ファイル一覧'!$G$4:$G$11,MATCH(A46&amp;"-"&amp;B46,'④回収ファイル一覧'!$K$4:$K$11,0)),"")</f>
        <v/>
      </c>
      <c r="K46" s="18">
        <f t="array" ref="K46">IFERROR(INDEX('④回収ファイル一覧'!$H$4:$H$11,MATCH(A46&amp;"-"&amp;B46,'④回収ファイル一覧'!$K$4:$K$11,0)),"")</f>
        <v/>
      </c>
      <c r="L46" s="18">
        <f t="array" ref="L46">IFERROR(INDEX('④回収ファイル一覧'!$I$4:$I$11,MATCH(A46&amp;"-"&amp;B46,'④回収ファイル一覧'!$K$4:$K$11,0)),"")</f>
        <v/>
      </c>
      <c r="M46" s="18">
        <f t="array" ref="M46">IFERROR(INDEX('④回収ファイル一覧'!$J$4:$J$11,MATCH(A46&amp;"-"&amp;B46,'④回収ファイル一覧'!$K$4:$K$11,0)),"")</f>
        <v/>
      </c>
    </row>
    <row r="47" ht="17.25" customHeight="1" s="41">
      <c r="A47" s="31" t="n">
        <v>1</v>
      </c>
      <c r="B47" s="31" t="n">
        <v>3</v>
      </c>
      <c r="C47" s="29" t="inlineStr">
        <is>
          <t>C1</t>
        </is>
      </c>
      <c r="D47" s="30" t="inlineStr">
        <is>
          <t>咳・くしゃみ・あくび</t>
        </is>
      </c>
      <c r="E47" s="31" t="inlineStr">
        <is>
          <t>記録のみ</t>
        </is>
      </c>
      <c r="F47" s="33" t="n">
        <v>46219</v>
      </c>
      <c r="G47" s="31" t="n">
        <v>2</v>
      </c>
      <c r="H47" s="31" t="n"/>
      <c r="I47" s="32" t="n"/>
      <c r="J47" s="18">
        <f t="array" ref="J47">IFERROR(INDEX('④回収ファイル一覧'!$G$4:$G$11,MATCH(A47&amp;"-"&amp;B47,'④回収ファイル一覧'!$K$4:$K$11,0)),"")</f>
        <v/>
      </c>
      <c r="K47" s="18">
        <f t="array" ref="K47">IFERROR(INDEX('④回収ファイル一覧'!$H$4:$H$11,MATCH(A47&amp;"-"&amp;B47,'④回収ファイル一覧'!$K$4:$K$11,0)),"")</f>
        <v/>
      </c>
      <c r="L47" s="18">
        <f t="array" ref="L47">IFERROR(INDEX('④回収ファイル一覧'!$I$4:$I$11,MATCH(A47&amp;"-"&amp;B47,'④回収ファイル一覧'!$K$4:$K$11,0)),"")</f>
        <v/>
      </c>
      <c r="M47" s="18">
        <f t="array" ref="M47">IFERROR(INDEX('④回収ファイル一覧'!$J$4:$J$11,MATCH(A47&amp;"-"&amp;B47,'④回収ファイル一覧'!$K$4:$K$11,0)),"")</f>
        <v/>
      </c>
    </row>
    <row r="48" ht="17.25" customHeight="1" s="41">
      <c r="A48" s="31" t="n">
        <v>1</v>
      </c>
      <c r="B48" s="31" t="n">
        <v>3</v>
      </c>
      <c r="C48" s="29" t="inlineStr">
        <is>
          <t>C2</t>
        </is>
      </c>
      <c r="D48" s="30" t="inlineStr">
        <is>
          <t>笑い続ける30秒</t>
        </is>
      </c>
      <c r="E48" s="19" t="inlineStr">
        <is>
          <t>2回以上反応が正解</t>
        </is>
      </c>
      <c r="F48" s="33" t="n">
        <v>46219</v>
      </c>
      <c r="G48" s="31" t="n">
        <v>3</v>
      </c>
      <c r="H48" s="31" t="n"/>
      <c r="I48" s="32" t="n"/>
      <c r="J48" s="18">
        <f t="array" ref="J48">IFERROR(INDEX('④回収ファイル一覧'!$G$4:$G$11,MATCH(A48&amp;"-"&amp;B48,'④回収ファイル一覧'!$K$4:$K$11,0)),"")</f>
        <v/>
      </c>
      <c r="K48" s="18">
        <f t="array" ref="K48">IFERROR(INDEX('④回収ファイル一覧'!$H$4:$H$11,MATCH(A48&amp;"-"&amp;B48,'④回収ファイル一覧'!$K$4:$K$11,0)),"")</f>
        <v/>
      </c>
      <c r="L48" s="18">
        <f t="array" ref="L48">IFERROR(INDEX('④回収ファイル一覧'!$I$4:$I$11,MATCH(A48&amp;"-"&amp;B48,'④回収ファイル一覧'!$K$4:$K$11,0)),"")</f>
        <v/>
      </c>
      <c r="M48" s="18">
        <f t="array" ref="M48">IFERROR(INDEX('④回収ファイル一覧'!$J$4:$J$11,MATCH(A48&amp;"-"&amp;B48,'④回収ファイル一覧'!$K$4:$K$11,0)),"")</f>
        <v/>
      </c>
    </row>
    <row r="49" ht="33.75" customHeight="1" s="41">
      <c r="A49" s="31" t="n">
        <v>1</v>
      </c>
      <c r="B49" s="31" t="n">
        <v>3</v>
      </c>
      <c r="C49" s="29" t="inlineStr">
        <is>
          <t>C3</t>
        </is>
      </c>
      <c r="D49" s="30" t="inlineStr">
        <is>
          <t>家族側が大声（テスター無言）</t>
        </is>
      </c>
      <c r="E49" s="31" t="inlineStr">
        <is>
          <t>記録のみ</t>
        </is>
      </c>
      <c r="F49" s="33" t="n">
        <v>46219</v>
      </c>
      <c r="G49" s="31" t="n">
        <v>3</v>
      </c>
      <c r="H49" s="31" t="inlineStr">
        <is>
          <t>×</t>
        </is>
      </c>
      <c r="I49" s="32" t="n"/>
      <c r="J49" s="18">
        <f t="array" ref="J49">IFERROR(INDEX('④回収ファイル一覧'!$G$4:$G$11,MATCH(A49&amp;"-"&amp;B49,'④回収ファイル一覧'!$K$4:$K$11,0)),"")</f>
        <v/>
      </c>
      <c r="K49" s="18">
        <f t="array" ref="K49">IFERROR(INDEX('④回収ファイル一覧'!$H$4:$H$11,MATCH(A49&amp;"-"&amp;B49,'④回収ファイル一覧'!$K$4:$K$11,0)),"")</f>
        <v/>
      </c>
      <c r="L49" s="18">
        <f t="array" ref="L49">IFERROR(INDEX('④回収ファイル一覧'!$I$4:$I$11,MATCH(A49&amp;"-"&amp;B49,'④回収ファイル一覧'!$K$4:$K$11,0)),"")</f>
        <v/>
      </c>
      <c r="M49" s="18">
        <f t="array" ref="M49">IFERROR(INDEX('④回収ファイル一覧'!$J$4:$J$11,MATCH(A49&amp;"-"&amp;B49,'④回収ファイル一覧'!$K$4:$K$11,0)),"")</f>
        <v/>
      </c>
    </row>
    <row r="50" ht="17.25" customHeight="1" s="41">
      <c r="A50" s="31" t="n">
        <v>2</v>
      </c>
      <c r="B50" s="31" t="n">
        <v>1</v>
      </c>
      <c r="C50" s="20" t="inlineStr">
        <is>
          <t>A1</t>
        </is>
      </c>
      <c r="D50" s="21" t="inlineStr">
        <is>
          <t>静かにする</t>
        </is>
      </c>
      <c r="E50" s="31" t="inlineStr">
        <is>
          <t>反応しない</t>
        </is>
      </c>
      <c r="F50" s="31" t="n"/>
      <c r="G50" s="31" t="n"/>
      <c r="H50" s="31" t="n"/>
      <c r="I50" s="32" t="n"/>
      <c r="J50" s="18">
        <f t="array" ref="J50">IFERROR(INDEX('④回収ファイル一覧'!$G$4:$G$11,MATCH(A50&amp;"-"&amp;B50,'④回収ファイル一覧'!$K$4:$K$11,0)),"")</f>
        <v/>
      </c>
      <c r="K50" s="18">
        <f t="array" ref="K50">IFERROR(INDEX('④回収ファイル一覧'!$H$4:$H$11,MATCH(A50&amp;"-"&amp;B50,'④回収ファイル一覧'!$K$4:$K$11,0)),"")</f>
        <v/>
      </c>
      <c r="L50" s="18">
        <f t="array" ref="L50">IFERROR(INDEX('④回収ファイル一覧'!$I$4:$I$11,MATCH(A50&amp;"-"&amp;B50,'④回収ファイル一覧'!$K$4:$K$11,0)),"")</f>
        <v/>
      </c>
      <c r="M50" s="18">
        <f t="array" ref="M50">IFERROR(INDEX('④回収ファイル一覧'!$J$4:$J$11,MATCH(A50&amp;"-"&amp;B50,'④回収ファイル一覧'!$K$4:$K$11,0)),"")</f>
        <v/>
      </c>
    </row>
    <row r="51" ht="17.25" customHeight="1" s="41">
      <c r="A51" s="31" t="n">
        <v>2</v>
      </c>
      <c r="B51" s="31" t="n">
        <v>1</v>
      </c>
      <c r="C51" s="20" t="inlineStr">
        <is>
          <t>A2</t>
        </is>
      </c>
      <c r="D51" s="21" t="inlineStr">
        <is>
          <t>ふつうの雑談（10分）</t>
        </is>
      </c>
      <c r="E51" s="31" t="inlineStr">
        <is>
          <t>反応しない</t>
        </is>
      </c>
      <c r="F51" s="31" t="n"/>
      <c r="G51" s="31" t="n"/>
      <c r="H51" s="31" t="n"/>
      <c r="I51" s="32" t="n"/>
      <c r="J51" s="18">
        <f t="array" ref="J51">IFERROR(INDEX('④回収ファイル一覧'!$G$4:$G$11,MATCH(A51&amp;"-"&amp;B51,'④回収ファイル一覧'!$K$4:$K$11,0)),"")</f>
        <v/>
      </c>
      <c r="K51" s="18">
        <f t="array" ref="K51">IFERROR(INDEX('④回収ファイル一覧'!$H$4:$H$11,MATCH(A51&amp;"-"&amp;B51,'④回収ファイル一覧'!$K$4:$K$11,0)),"")</f>
        <v/>
      </c>
      <c r="L51" s="18">
        <f t="array" ref="L51">IFERROR(INDEX('④回収ファイル一覧'!$I$4:$I$11,MATCH(A51&amp;"-"&amp;B51,'④回収ファイル一覧'!$K$4:$K$11,0)),"")</f>
        <v/>
      </c>
      <c r="M51" s="18">
        <f t="array" ref="M51">IFERROR(INDEX('④回収ファイル一覧'!$J$4:$J$11,MATCH(A51&amp;"-"&amp;B51,'④回収ファイル一覧'!$K$4:$K$11,0)),"")</f>
        <v/>
      </c>
    </row>
    <row r="52" ht="17.25" customHeight="1" s="41">
      <c r="A52" s="31" t="n">
        <v>2</v>
      </c>
      <c r="B52" s="31" t="n">
        <v>1</v>
      </c>
      <c r="C52" s="20" t="inlineStr">
        <is>
          <t>A3</t>
        </is>
      </c>
      <c r="D52" s="21" t="inlineStr">
        <is>
          <t>本を読む</t>
        </is>
      </c>
      <c r="E52" s="31" t="inlineStr">
        <is>
          <t>反応しない</t>
        </is>
      </c>
      <c r="F52" s="31" t="n"/>
      <c r="G52" s="31" t="n"/>
      <c r="H52" s="31" t="n"/>
      <c r="I52" s="32" t="n"/>
      <c r="J52" s="18">
        <f t="array" ref="J52">IFERROR(INDEX('④回収ファイル一覧'!$G$4:$G$11,MATCH(A52&amp;"-"&amp;B52,'④回収ファイル一覧'!$K$4:$K$11,0)),"")</f>
        <v/>
      </c>
      <c r="K52" s="18">
        <f t="array" ref="K52">IFERROR(INDEX('④回収ファイル一覧'!$H$4:$H$11,MATCH(A52&amp;"-"&amp;B52,'④回収ファイル一覧'!$K$4:$K$11,0)),"")</f>
        <v/>
      </c>
      <c r="L52" s="18">
        <f t="array" ref="L52">IFERROR(INDEX('④回収ファイル一覧'!$I$4:$I$11,MATCH(A52&amp;"-"&amp;B52,'④回収ファイル一覧'!$K$4:$K$11,0)),"")</f>
        <v/>
      </c>
      <c r="M52" s="18">
        <f t="array" ref="M52">IFERROR(INDEX('④回収ファイル一覧'!$J$4:$J$11,MATCH(A52&amp;"-"&amp;B52,'④回収ファイル一覧'!$K$4:$K$11,0)),"")</f>
        <v/>
      </c>
    </row>
    <row r="53" ht="17.25" customHeight="1" s="41">
      <c r="A53" s="31" t="n">
        <v>2</v>
      </c>
      <c r="B53" s="31" t="n">
        <v>1</v>
      </c>
      <c r="C53" s="20" t="inlineStr">
        <is>
          <t>A4</t>
        </is>
      </c>
      <c r="D53" s="21" t="inlineStr">
        <is>
          <t>生活音を出す</t>
        </is>
      </c>
      <c r="E53" s="31" t="inlineStr">
        <is>
          <t>反応しない</t>
        </is>
      </c>
      <c r="F53" s="31" t="n"/>
      <c r="G53" s="31" t="n"/>
      <c r="H53" s="31" t="n"/>
      <c r="I53" s="32" t="n"/>
      <c r="J53" s="18">
        <f t="array" ref="J53">IFERROR(INDEX('④回収ファイル一覧'!$G$4:$G$11,MATCH(A53&amp;"-"&amp;B53,'④回収ファイル一覧'!$K$4:$K$11,0)),"")</f>
        <v/>
      </c>
      <c r="K53" s="18">
        <f t="array" ref="K53">IFERROR(INDEX('④回収ファイル一覧'!$H$4:$H$11,MATCH(A53&amp;"-"&amp;B53,'④回収ファイル一覧'!$K$4:$K$11,0)),"")</f>
        <v/>
      </c>
      <c r="L53" s="18">
        <f t="array" ref="L53">IFERROR(INDEX('④回収ファイル一覧'!$I$4:$I$11,MATCH(A53&amp;"-"&amp;B53,'④回収ファイル一覧'!$K$4:$K$11,0)),"")</f>
        <v/>
      </c>
      <c r="M53" s="18">
        <f t="array" ref="M53">IFERROR(INDEX('④回収ファイル一覧'!$J$4:$J$11,MATCH(A53&amp;"-"&amp;B53,'④回収ファイル一覧'!$K$4:$K$11,0)),"")</f>
        <v/>
      </c>
    </row>
    <row r="54" ht="33.75" customHeight="1" s="41">
      <c r="A54" s="31" t="n">
        <v>2</v>
      </c>
      <c r="B54" s="31" t="n">
        <v>1</v>
      </c>
      <c r="C54" s="20" t="inlineStr">
        <is>
          <t>A5</t>
        </is>
      </c>
      <c r="D54" s="21" t="inlineStr">
        <is>
          <t>最初のあいさつ（かけ直し）</t>
        </is>
      </c>
      <c r="E54" s="31" t="inlineStr">
        <is>
          <t>反応しない</t>
        </is>
      </c>
      <c r="F54" s="31" t="n"/>
      <c r="G54" s="31" t="n"/>
      <c r="H54" s="31" t="n"/>
      <c r="I54" s="32" t="n"/>
      <c r="J54" s="18">
        <f t="array" ref="J54">IFERROR(INDEX('④回収ファイル一覧'!$G$4:$G$11,MATCH(A54&amp;"-"&amp;B54,'④回収ファイル一覧'!$K$4:$K$11,0)),"")</f>
        <v/>
      </c>
      <c r="K54" s="18">
        <f t="array" ref="K54">IFERROR(INDEX('④回収ファイル一覧'!$H$4:$H$11,MATCH(A54&amp;"-"&amp;B54,'④回収ファイル一覧'!$K$4:$K$11,0)),"")</f>
        <v/>
      </c>
      <c r="L54" s="18">
        <f t="array" ref="L54">IFERROR(INDEX('④回収ファイル一覧'!$I$4:$I$11,MATCH(A54&amp;"-"&amp;B54,'④回収ファイル一覧'!$K$4:$K$11,0)),"")</f>
        <v/>
      </c>
      <c r="M54" s="18">
        <f t="array" ref="M54">IFERROR(INDEX('④回収ファイル一覧'!$J$4:$J$11,MATCH(A54&amp;"-"&amp;B54,'④回収ファイル一覧'!$K$4:$K$11,0)),"")</f>
        <v/>
      </c>
    </row>
    <row r="55" ht="17.25" customHeight="1" s="41">
      <c r="A55" s="31" t="n">
        <v>2</v>
      </c>
      <c r="B55" s="31" t="n">
        <v>1</v>
      </c>
      <c r="C55" s="20" t="inlineStr">
        <is>
          <t>A6</t>
        </is>
      </c>
      <c r="D55" s="21" t="inlineStr">
        <is>
          <t>立って戻る</t>
        </is>
      </c>
      <c r="E55" s="31" t="inlineStr">
        <is>
          <t>反応しない</t>
        </is>
      </c>
      <c r="F55" s="31" t="n"/>
      <c r="G55" s="31" t="n"/>
      <c r="H55" s="31" t="n"/>
      <c r="I55" s="32" t="n"/>
      <c r="J55" s="18">
        <f t="array" ref="J55">IFERROR(INDEX('④回収ファイル一覧'!$G$4:$G$11,MATCH(A55&amp;"-"&amp;B55,'④回収ファイル一覧'!$K$4:$K$11,0)),"")</f>
        <v/>
      </c>
      <c r="K55" s="18">
        <f t="array" ref="K55">IFERROR(INDEX('④回収ファイル一覧'!$H$4:$H$11,MATCH(A55&amp;"-"&amp;B55,'④回収ファイル一覧'!$K$4:$K$11,0)),"")</f>
        <v/>
      </c>
      <c r="L55" s="18">
        <f t="array" ref="L55">IFERROR(INDEX('④回収ファイル一覧'!$I$4:$I$11,MATCH(A55&amp;"-"&amp;B55,'④回収ファイル一覧'!$K$4:$K$11,0)),"")</f>
        <v/>
      </c>
      <c r="M55" s="18">
        <f t="array" ref="M55">IFERROR(INDEX('④回収ファイル一覧'!$J$4:$J$11,MATCH(A55&amp;"-"&amp;B55,'④回収ファイル一覧'!$K$4:$K$11,0)),"")</f>
        <v/>
      </c>
    </row>
    <row r="56" ht="17.25" customHeight="1" s="41">
      <c r="A56" s="31" t="n">
        <v>2</v>
      </c>
      <c r="B56" s="31" t="n">
        <v>1</v>
      </c>
      <c r="C56" s="26" t="inlineStr">
        <is>
          <t>B1</t>
        </is>
      </c>
      <c r="D56" s="27" t="inlineStr">
        <is>
          <t>声を出して笑う</t>
        </is>
      </c>
      <c r="E56" s="31" t="inlineStr">
        <is>
          <t>反応する</t>
        </is>
      </c>
      <c r="F56" s="31" t="n"/>
      <c r="G56" s="31" t="n"/>
      <c r="H56" s="31" t="n"/>
      <c r="I56" s="32" t="n"/>
      <c r="J56" s="18">
        <f t="array" ref="J56">IFERROR(INDEX('④回収ファイル一覧'!$G$4:$G$11,MATCH(A56&amp;"-"&amp;B56,'④回収ファイル一覧'!$K$4:$K$11,0)),"")</f>
        <v/>
      </c>
      <c r="K56" s="18">
        <f t="array" ref="K56">IFERROR(INDEX('④回収ファイル一覧'!$H$4:$H$11,MATCH(A56&amp;"-"&amp;B56,'④回収ファイル一覧'!$K$4:$K$11,0)),"")</f>
        <v/>
      </c>
      <c r="L56" s="18">
        <f t="array" ref="L56">IFERROR(INDEX('④回収ファイル一覧'!$I$4:$I$11,MATCH(A56&amp;"-"&amp;B56,'④回収ファイル一覧'!$K$4:$K$11,0)),"")</f>
        <v/>
      </c>
      <c r="M56" s="18">
        <f t="array" ref="M56">IFERROR(INDEX('④回収ファイル一覧'!$J$4:$J$11,MATCH(A56&amp;"-"&amp;B56,'④回収ファイル一覧'!$K$4:$K$11,0)),"")</f>
        <v/>
      </c>
    </row>
    <row r="57" ht="17.25" customHeight="1" s="41">
      <c r="A57" s="31" t="n">
        <v>2</v>
      </c>
      <c r="B57" s="31" t="n">
        <v>1</v>
      </c>
      <c r="C57" s="26" t="inlineStr">
        <is>
          <t>B2</t>
        </is>
      </c>
      <c r="D57" s="27" t="inlineStr">
        <is>
          <t>驚く</t>
        </is>
      </c>
      <c r="E57" s="31" t="inlineStr">
        <is>
          <t>反応する</t>
        </is>
      </c>
      <c r="F57" s="31" t="n"/>
      <c r="G57" s="31" t="n"/>
      <c r="H57" s="31" t="n"/>
      <c r="I57" s="32" t="n"/>
      <c r="J57" s="18">
        <f t="array" ref="J57">IFERROR(INDEX('④回収ファイル一覧'!$G$4:$G$11,MATCH(A57&amp;"-"&amp;B57,'④回収ファイル一覧'!$K$4:$K$11,0)),"")</f>
        <v/>
      </c>
      <c r="K57" s="18">
        <f t="array" ref="K57">IFERROR(INDEX('④回収ファイル一覧'!$H$4:$H$11,MATCH(A57&amp;"-"&amp;B57,'④回収ファイル一覧'!$K$4:$K$11,0)),"")</f>
        <v/>
      </c>
      <c r="L57" s="18">
        <f t="array" ref="L57">IFERROR(INDEX('④回収ファイル一覧'!$I$4:$I$11,MATCH(A57&amp;"-"&amp;B57,'④回収ファイル一覧'!$K$4:$K$11,0)),"")</f>
        <v/>
      </c>
      <c r="M57" s="18">
        <f t="array" ref="M57">IFERROR(INDEX('④回収ファイル一覧'!$J$4:$J$11,MATCH(A57&amp;"-"&amp;B57,'④回収ファイル一覧'!$K$4:$K$11,0)),"")</f>
        <v/>
      </c>
    </row>
    <row r="58" ht="17.25" customHeight="1" s="41">
      <c r="A58" s="31" t="n">
        <v>2</v>
      </c>
      <c r="B58" s="31" t="n">
        <v>1</v>
      </c>
      <c r="C58" s="26" t="inlineStr">
        <is>
          <t>B3</t>
        </is>
      </c>
      <c r="D58" s="27" t="inlineStr">
        <is>
          <t>怒る</t>
        </is>
      </c>
      <c r="E58" s="31" t="inlineStr">
        <is>
          <t>反応する</t>
        </is>
      </c>
      <c r="F58" s="31" t="n"/>
      <c r="G58" s="31" t="n"/>
      <c r="H58" s="31" t="n"/>
      <c r="I58" s="32" t="n"/>
      <c r="J58" s="18">
        <f t="array" ref="J58">IFERROR(INDEX('④回収ファイル一覧'!$G$4:$G$11,MATCH(A58&amp;"-"&amp;B58,'④回収ファイル一覧'!$K$4:$K$11,0)),"")</f>
        <v/>
      </c>
      <c r="K58" s="18">
        <f t="array" ref="K58">IFERROR(INDEX('④回収ファイル一覧'!$H$4:$H$11,MATCH(A58&amp;"-"&amp;B58,'④回収ファイル一覧'!$K$4:$K$11,0)),"")</f>
        <v/>
      </c>
      <c r="L58" s="18">
        <f t="array" ref="L58">IFERROR(INDEX('④回収ファイル一覧'!$I$4:$I$11,MATCH(A58&amp;"-"&amp;B58,'④回収ファイル一覧'!$K$4:$K$11,0)),"")</f>
        <v/>
      </c>
      <c r="M58" s="18">
        <f t="array" ref="M58">IFERROR(INDEX('④回収ファイル一覧'!$J$4:$J$11,MATCH(A58&amp;"-"&amp;B58,'④回収ファイル一覧'!$K$4:$K$11,0)),"")</f>
        <v/>
      </c>
    </row>
    <row r="59" ht="33.75" customHeight="1" s="41">
      <c r="A59" s="31" t="n">
        <v>2</v>
      </c>
      <c r="B59" s="31" t="n">
        <v>1</v>
      </c>
      <c r="C59" s="26" t="inlineStr">
        <is>
          <t>B4</t>
        </is>
      </c>
      <c r="D59" s="27" t="inlineStr">
        <is>
          <t>静かに笑う（声量そのまま）</t>
        </is>
      </c>
      <c r="E59" s="31" t="inlineStr">
        <is>
          <t>反応する</t>
        </is>
      </c>
      <c r="F59" s="31" t="n"/>
      <c r="G59" s="31" t="n"/>
      <c r="H59" s="31" t="n"/>
      <c r="I59" s="32" t="n"/>
      <c r="J59" s="18">
        <f t="array" ref="J59">IFERROR(INDEX('④回収ファイル一覧'!$G$4:$G$11,MATCH(A59&amp;"-"&amp;B59,'④回収ファイル一覧'!$K$4:$K$11,0)),"")</f>
        <v/>
      </c>
      <c r="K59" s="18">
        <f t="array" ref="K59">IFERROR(INDEX('④回収ファイル一覧'!$H$4:$H$11,MATCH(A59&amp;"-"&amp;B59,'④回収ファイル一覧'!$K$4:$K$11,0)),"")</f>
        <v/>
      </c>
      <c r="L59" s="18">
        <f t="array" ref="L59">IFERROR(INDEX('④回収ファイル一覧'!$I$4:$I$11,MATCH(A59&amp;"-"&amp;B59,'④回収ファイル一覧'!$K$4:$K$11,0)),"")</f>
        <v/>
      </c>
      <c r="M59" s="18">
        <f t="array" ref="M59">IFERROR(INDEX('④回収ファイル一覧'!$J$4:$J$11,MATCH(A59&amp;"-"&amp;B59,'④回収ファイル一覧'!$K$4:$K$11,0)),"")</f>
        <v/>
      </c>
    </row>
    <row r="60" ht="17.25" customHeight="1" s="41">
      <c r="A60" s="31" t="n">
        <v>2</v>
      </c>
      <c r="B60" s="31" t="n">
        <v>1</v>
      </c>
      <c r="C60" s="26" t="inlineStr">
        <is>
          <t>B5</t>
        </is>
      </c>
      <c r="D60" s="27" t="inlineStr">
        <is>
          <t>ほめ言葉（ふだんの声）</t>
        </is>
      </c>
      <c r="E60" s="31" t="inlineStr">
        <is>
          <t>反応する</t>
        </is>
      </c>
      <c r="F60" s="31" t="n"/>
      <c r="G60" s="31" t="n"/>
      <c r="H60" s="31" t="n"/>
      <c r="I60" s="32" t="n"/>
      <c r="J60" s="18">
        <f t="array" ref="J60">IFERROR(INDEX('④回収ファイル一覧'!$G$4:$G$11,MATCH(A60&amp;"-"&amp;B60,'④回収ファイル一覧'!$K$4:$K$11,0)),"")</f>
        <v/>
      </c>
      <c r="K60" s="18">
        <f t="array" ref="K60">IFERROR(INDEX('④回収ファイル一覧'!$H$4:$H$11,MATCH(A60&amp;"-"&amp;B60,'④回収ファイル一覧'!$K$4:$K$11,0)),"")</f>
        <v/>
      </c>
      <c r="L60" s="18">
        <f t="array" ref="L60">IFERROR(INDEX('④回収ファイル一覧'!$I$4:$I$11,MATCH(A60&amp;"-"&amp;B60,'④回収ファイル一覧'!$K$4:$K$11,0)),"")</f>
        <v/>
      </c>
      <c r="M60" s="18">
        <f t="array" ref="M60">IFERROR(INDEX('④回収ファイル一覧'!$J$4:$J$11,MATCH(A60&amp;"-"&amp;B60,'④回収ファイル一覧'!$K$4:$K$11,0)),"")</f>
        <v/>
      </c>
    </row>
    <row r="61" ht="17.25" customHeight="1" s="41">
      <c r="A61" s="31" t="n">
        <v>2</v>
      </c>
      <c r="B61" s="31" t="n">
        <v>1</v>
      </c>
      <c r="C61" s="26" t="inlineStr">
        <is>
          <t>B6</t>
        </is>
      </c>
      <c r="D61" s="27" t="inlineStr">
        <is>
          <t>感極まる</t>
        </is>
      </c>
      <c r="E61" s="31" t="inlineStr">
        <is>
          <t>反応する</t>
        </is>
      </c>
      <c r="F61" s="31" t="n"/>
      <c r="G61" s="31" t="n"/>
      <c r="H61" s="31" t="n"/>
      <c r="I61" s="32" t="n"/>
      <c r="J61" s="18">
        <f t="array" ref="J61">IFERROR(INDEX('④回収ファイル一覧'!$G$4:$G$11,MATCH(A61&amp;"-"&amp;B61,'④回収ファイル一覧'!$K$4:$K$11,0)),"")</f>
        <v/>
      </c>
      <c r="K61" s="18">
        <f t="array" ref="K61">IFERROR(INDEX('④回収ファイル一覧'!$H$4:$H$11,MATCH(A61&amp;"-"&amp;B61,'④回収ファイル一覧'!$K$4:$K$11,0)),"")</f>
        <v/>
      </c>
      <c r="L61" s="18">
        <f t="array" ref="L61">IFERROR(INDEX('④回収ファイル一覧'!$I$4:$I$11,MATCH(A61&amp;"-"&amp;B61,'④回収ファイル一覧'!$K$4:$K$11,0)),"")</f>
        <v/>
      </c>
      <c r="M61" s="18">
        <f t="array" ref="M61">IFERROR(INDEX('④回収ファイル一覧'!$J$4:$J$11,MATCH(A61&amp;"-"&amp;B61,'④回収ファイル一覧'!$K$4:$K$11,0)),"")</f>
        <v/>
      </c>
    </row>
    <row r="62" ht="17.25" customHeight="1" s="41">
      <c r="A62" s="31" t="n">
        <v>2</v>
      </c>
      <c r="B62" s="31" t="n">
        <v>1</v>
      </c>
      <c r="C62" s="29" t="inlineStr">
        <is>
          <t>C1</t>
        </is>
      </c>
      <c r="D62" s="30" t="inlineStr">
        <is>
          <t>咳・くしゃみ・あくび</t>
        </is>
      </c>
      <c r="E62" s="31" t="inlineStr">
        <is>
          <t>記録のみ</t>
        </is>
      </c>
      <c r="F62" s="31" t="n"/>
      <c r="G62" s="31" t="n"/>
      <c r="H62" s="31" t="n"/>
      <c r="I62" s="32" t="n"/>
      <c r="J62" s="18">
        <f t="array" ref="J62">IFERROR(INDEX('④回収ファイル一覧'!$G$4:$G$11,MATCH(A62&amp;"-"&amp;B62,'④回収ファイル一覧'!$K$4:$K$11,0)),"")</f>
        <v/>
      </c>
      <c r="K62" s="18">
        <f t="array" ref="K62">IFERROR(INDEX('④回収ファイル一覧'!$H$4:$H$11,MATCH(A62&amp;"-"&amp;B62,'④回収ファイル一覧'!$K$4:$K$11,0)),"")</f>
        <v/>
      </c>
      <c r="L62" s="18">
        <f t="array" ref="L62">IFERROR(INDEX('④回収ファイル一覧'!$I$4:$I$11,MATCH(A62&amp;"-"&amp;B62,'④回収ファイル一覧'!$K$4:$K$11,0)),"")</f>
        <v/>
      </c>
      <c r="M62" s="18">
        <f t="array" ref="M62">IFERROR(INDEX('④回収ファイル一覧'!$J$4:$J$11,MATCH(A62&amp;"-"&amp;B62,'④回収ファイル一覧'!$K$4:$K$11,0)),"")</f>
        <v/>
      </c>
    </row>
    <row r="63" ht="17.25" customHeight="1" s="41">
      <c r="A63" s="31" t="n">
        <v>2</v>
      </c>
      <c r="B63" s="31" t="n">
        <v>1</v>
      </c>
      <c r="C63" s="29" t="inlineStr">
        <is>
          <t>C2</t>
        </is>
      </c>
      <c r="D63" s="30" t="inlineStr">
        <is>
          <t>笑い続ける30秒</t>
        </is>
      </c>
      <c r="E63" s="19" t="inlineStr">
        <is>
          <t>2回以上反応が正解</t>
        </is>
      </c>
      <c r="F63" s="31" t="n"/>
      <c r="G63" s="31" t="n"/>
      <c r="H63" s="31" t="n"/>
      <c r="I63" s="32" t="n"/>
      <c r="J63" s="18">
        <f t="array" ref="J63">IFERROR(INDEX('④回収ファイル一覧'!$G$4:$G$11,MATCH(A63&amp;"-"&amp;B63,'④回収ファイル一覧'!$K$4:$K$11,0)),"")</f>
        <v/>
      </c>
      <c r="K63" s="18">
        <f t="array" ref="K63">IFERROR(INDEX('④回収ファイル一覧'!$H$4:$H$11,MATCH(A63&amp;"-"&amp;B63,'④回収ファイル一覧'!$K$4:$K$11,0)),"")</f>
        <v/>
      </c>
      <c r="L63" s="18">
        <f t="array" ref="L63">IFERROR(INDEX('④回収ファイル一覧'!$I$4:$I$11,MATCH(A63&amp;"-"&amp;B63,'④回収ファイル一覧'!$K$4:$K$11,0)),"")</f>
        <v/>
      </c>
      <c r="M63" s="18">
        <f t="array" ref="M63">IFERROR(INDEX('④回収ファイル一覧'!$J$4:$J$11,MATCH(A63&amp;"-"&amp;B63,'④回収ファイル一覧'!$K$4:$K$11,0)),"")</f>
        <v/>
      </c>
    </row>
    <row r="64" ht="33.75" customHeight="1" s="41">
      <c r="A64" s="31" t="n">
        <v>2</v>
      </c>
      <c r="B64" s="31" t="n">
        <v>1</v>
      </c>
      <c r="C64" s="29" t="inlineStr">
        <is>
          <t>C3</t>
        </is>
      </c>
      <c r="D64" s="30" t="inlineStr">
        <is>
          <t>家族側が大声（テスター無言）</t>
        </is>
      </c>
      <c r="E64" s="31" t="inlineStr">
        <is>
          <t>記録のみ</t>
        </is>
      </c>
      <c r="F64" s="31" t="n"/>
      <c r="G64" s="31" t="n"/>
      <c r="H64" s="31" t="n"/>
      <c r="I64" s="32" t="n"/>
      <c r="J64" s="18">
        <f t="array" ref="J64">IFERROR(INDEX('④回収ファイル一覧'!$G$4:$G$11,MATCH(A64&amp;"-"&amp;B64,'④回収ファイル一覧'!$K$4:$K$11,0)),"")</f>
        <v/>
      </c>
      <c r="K64" s="18">
        <f t="array" ref="K64">IFERROR(INDEX('④回収ファイル一覧'!$H$4:$H$11,MATCH(A64&amp;"-"&amp;B64,'④回収ファイル一覧'!$K$4:$K$11,0)),"")</f>
        <v/>
      </c>
      <c r="L64" s="18">
        <f t="array" ref="L64">IFERROR(INDEX('④回収ファイル一覧'!$I$4:$I$11,MATCH(A64&amp;"-"&amp;B64,'④回収ファイル一覧'!$K$4:$K$11,0)),"")</f>
        <v/>
      </c>
      <c r="M64" s="18">
        <f t="array" ref="M64">IFERROR(INDEX('④回収ファイル一覧'!$J$4:$J$11,MATCH(A64&amp;"-"&amp;B64,'④回収ファイル一覧'!$K$4:$K$11,0)),"")</f>
        <v/>
      </c>
    </row>
    <row r="65" ht="17.25" customHeight="1" s="41">
      <c r="A65" s="31" t="n">
        <v>2</v>
      </c>
      <c r="B65" s="31" t="n">
        <v>2</v>
      </c>
      <c r="C65" s="20" t="inlineStr">
        <is>
          <t>A1</t>
        </is>
      </c>
      <c r="D65" s="21" t="inlineStr">
        <is>
          <t>静かにする</t>
        </is>
      </c>
      <c r="E65" s="31" t="inlineStr">
        <is>
          <t>反応しない</t>
        </is>
      </c>
      <c r="F65" s="31" t="n"/>
      <c r="G65" s="31" t="n"/>
      <c r="H65" s="31" t="n"/>
      <c r="I65" s="32" t="n"/>
      <c r="J65" s="18">
        <f t="array" ref="J65">IFERROR(INDEX('④回収ファイル一覧'!$G$4:$G$11,MATCH(A65&amp;"-"&amp;B65,'④回収ファイル一覧'!$K$4:$K$11,0)),"")</f>
        <v/>
      </c>
      <c r="K65" s="18">
        <f t="array" ref="K65">IFERROR(INDEX('④回収ファイル一覧'!$H$4:$H$11,MATCH(A65&amp;"-"&amp;B65,'④回収ファイル一覧'!$K$4:$K$11,0)),"")</f>
        <v/>
      </c>
      <c r="L65" s="18">
        <f t="array" ref="L65">IFERROR(INDEX('④回収ファイル一覧'!$I$4:$I$11,MATCH(A65&amp;"-"&amp;B65,'④回収ファイル一覧'!$K$4:$K$11,0)),"")</f>
        <v/>
      </c>
      <c r="M65" s="18">
        <f t="array" ref="M65">IFERROR(INDEX('④回収ファイル一覧'!$J$4:$J$11,MATCH(A65&amp;"-"&amp;B65,'④回収ファイル一覧'!$K$4:$K$11,0)),"")</f>
        <v/>
      </c>
    </row>
    <row r="66" ht="17.25" customHeight="1" s="41">
      <c r="A66" s="31" t="n">
        <v>2</v>
      </c>
      <c r="B66" s="31" t="n">
        <v>2</v>
      </c>
      <c r="C66" s="20" t="inlineStr">
        <is>
          <t>A2</t>
        </is>
      </c>
      <c r="D66" s="21" t="inlineStr">
        <is>
          <t>ふつうの雑談（10分）</t>
        </is>
      </c>
      <c r="E66" s="31" t="inlineStr">
        <is>
          <t>反応しない</t>
        </is>
      </c>
      <c r="F66" s="31" t="n"/>
      <c r="G66" s="31" t="n"/>
      <c r="H66" s="31" t="n"/>
      <c r="I66" s="32" t="n"/>
      <c r="J66" s="18">
        <f t="array" ref="J66">IFERROR(INDEX('④回収ファイル一覧'!$G$4:$G$11,MATCH(A66&amp;"-"&amp;B66,'④回収ファイル一覧'!$K$4:$K$11,0)),"")</f>
        <v/>
      </c>
      <c r="K66" s="18">
        <f t="array" ref="K66">IFERROR(INDEX('④回収ファイル一覧'!$H$4:$H$11,MATCH(A66&amp;"-"&amp;B66,'④回収ファイル一覧'!$K$4:$K$11,0)),"")</f>
        <v/>
      </c>
      <c r="L66" s="18">
        <f t="array" ref="L66">IFERROR(INDEX('④回収ファイル一覧'!$I$4:$I$11,MATCH(A66&amp;"-"&amp;B66,'④回収ファイル一覧'!$K$4:$K$11,0)),"")</f>
        <v/>
      </c>
      <c r="M66" s="18">
        <f t="array" ref="M66">IFERROR(INDEX('④回収ファイル一覧'!$J$4:$J$11,MATCH(A66&amp;"-"&amp;B66,'④回収ファイル一覧'!$K$4:$K$11,0)),"")</f>
        <v/>
      </c>
    </row>
    <row r="67" ht="17.25" customHeight="1" s="41">
      <c r="A67" s="31" t="n">
        <v>2</v>
      </c>
      <c r="B67" s="31" t="n">
        <v>2</v>
      </c>
      <c r="C67" s="20" t="inlineStr">
        <is>
          <t>A3</t>
        </is>
      </c>
      <c r="D67" s="21" t="inlineStr">
        <is>
          <t>本を読む</t>
        </is>
      </c>
      <c r="E67" s="31" t="inlineStr">
        <is>
          <t>反応しない</t>
        </is>
      </c>
      <c r="F67" s="31" t="n"/>
      <c r="G67" s="31" t="n"/>
      <c r="H67" s="31" t="n"/>
      <c r="I67" s="32" t="n"/>
      <c r="J67" s="18">
        <f t="array" ref="J67">IFERROR(INDEX('④回収ファイル一覧'!$G$4:$G$11,MATCH(A67&amp;"-"&amp;B67,'④回収ファイル一覧'!$K$4:$K$11,0)),"")</f>
        <v/>
      </c>
      <c r="K67" s="18">
        <f t="array" ref="K67">IFERROR(INDEX('④回収ファイル一覧'!$H$4:$H$11,MATCH(A67&amp;"-"&amp;B67,'④回収ファイル一覧'!$K$4:$K$11,0)),"")</f>
        <v/>
      </c>
      <c r="L67" s="18">
        <f t="array" ref="L67">IFERROR(INDEX('④回収ファイル一覧'!$I$4:$I$11,MATCH(A67&amp;"-"&amp;B67,'④回収ファイル一覧'!$K$4:$K$11,0)),"")</f>
        <v/>
      </c>
      <c r="M67" s="18">
        <f t="array" ref="M67">IFERROR(INDEX('④回収ファイル一覧'!$J$4:$J$11,MATCH(A67&amp;"-"&amp;B67,'④回収ファイル一覧'!$K$4:$K$11,0)),"")</f>
        <v/>
      </c>
    </row>
    <row r="68" ht="17.25" customHeight="1" s="41">
      <c r="A68" s="31" t="n">
        <v>2</v>
      </c>
      <c r="B68" s="31" t="n">
        <v>2</v>
      </c>
      <c r="C68" s="20" t="inlineStr">
        <is>
          <t>A4</t>
        </is>
      </c>
      <c r="D68" s="21" t="inlineStr">
        <is>
          <t>生活音を出す</t>
        </is>
      </c>
      <c r="E68" s="31" t="inlineStr">
        <is>
          <t>反応しない</t>
        </is>
      </c>
      <c r="F68" s="31" t="n"/>
      <c r="G68" s="31" t="n"/>
      <c r="H68" s="31" t="n"/>
      <c r="I68" s="32" t="n"/>
      <c r="J68" s="18">
        <f t="array" ref="J68">IFERROR(INDEX('④回収ファイル一覧'!$G$4:$G$11,MATCH(A68&amp;"-"&amp;B68,'④回収ファイル一覧'!$K$4:$K$11,0)),"")</f>
        <v/>
      </c>
      <c r="K68" s="18">
        <f t="array" ref="K68">IFERROR(INDEX('④回収ファイル一覧'!$H$4:$H$11,MATCH(A68&amp;"-"&amp;B68,'④回収ファイル一覧'!$K$4:$K$11,0)),"")</f>
        <v/>
      </c>
      <c r="L68" s="18">
        <f t="array" ref="L68">IFERROR(INDEX('④回収ファイル一覧'!$I$4:$I$11,MATCH(A68&amp;"-"&amp;B68,'④回収ファイル一覧'!$K$4:$K$11,0)),"")</f>
        <v/>
      </c>
      <c r="M68" s="18">
        <f t="array" ref="M68">IFERROR(INDEX('④回収ファイル一覧'!$J$4:$J$11,MATCH(A68&amp;"-"&amp;B68,'④回収ファイル一覧'!$K$4:$K$11,0)),"")</f>
        <v/>
      </c>
    </row>
    <row r="69" ht="33.75" customHeight="1" s="41">
      <c r="A69" s="31" t="n">
        <v>2</v>
      </c>
      <c r="B69" s="31" t="n">
        <v>2</v>
      </c>
      <c r="C69" s="20" t="inlineStr">
        <is>
          <t>A5</t>
        </is>
      </c>
      <c r="D69" s="21" t="inlineStr">
        <is>
          <t>最初のあいさつ（かけ直し）</t>
        </is>
      </c>
      <c r="E69" s="31" t="inlineStr">
        <is>
          <t>反応しない</t>
        </is>
      </c>
      <c r="F69" s="31" t="n"/>
      <c r="G69" s="31" t="n"/>
      <c r="H69" s="31" t="n"/>
      <c r="I69" s="32" t="n"/>
      <c r="J69" s="18">
        <f t="array" ref="J69">IFERROR(INDEX('④回収ファイル一覧'!$G$4:$G$11,MATCH(A69&amp;"-"&amp;B69,'④回収ファイル一覧'!$K$4:$K$11,0)),"")</f>
        <v/>
      </c>
      <c r="K69" s="18">
        <f t="array" ref="K69">IFERROR(INDEX('④回収ファイル一覧'!$H$4:$H$11,MATCH(A69&amp;"-"&amp;B69,'④回収ファイル一覧'!$K$4:$K$11,0)),"")</f>
        <v/>
      </c>
      <c r="L69" s="18">
        <f t="array" ref="L69">IFERROR(INDEX('④回収ファイル一覧'!$I$4:$I$11,MATCH(A69&amp;"-"&amp;B69,'④回収ファイル一覧'!$K$4:$K$11,0)),"")</f>
        <v/>
      </c>
      <c r="M69" s="18">
        <f t="array" ref="M69">IFERROR(INDEX('④回収ファイル一覧'!$J$4:$J$11,MATCH(A69&amp;"-"&amp;B69,'④回収ファイル一覧'!$K$4:$K$11,0)),"")</f>
        <v/>
      </c>
    </row>
    <row r="70" ht="17.25" customHeight="1" s="41">
      <c r="A70" s="31" t="n">
        <v>2</v>
      </c>
      <c r="B70" s="31" t="n">
        <v>2</v>
      </c>
      <c r="C70" s="20" t="inlineStr">
        <is>
          <t>A6</t>
        </is>
      </c>
      <c r="D70" s="21" t="inlineStr">
        <is>
          <t>立って戻る</t>
        </is>
      </c>
      <c r="E70" s="31" t="inlineStr">
        <is>
          <t>反応しない</t>
        </is>
      </c>
      <c r="F70" s="31" t="n"/>
      <c r="G70" s="31" t="n"/>
      <c r="H70" s="31" t="n"/>
      <c r="I70" s="32" t="n"/>
      <c r="J70" s="18">
        <f t="array" ref="J70">IFERROR(INDEX('④回収ファイル一覧'!$G$4:$G$11,MATCH(A70&amp;"-"&amp;B70,'④回収ファイル一覧'!$K$4:$K$11,0)),"")</f>
        <v/>
      </c>
      <c r="K70" s="18">
        <f t="array" ref="K70">IFERROR(INDEX('④回収ファイル一覧'!$H$4:$H$11,MATCH(A70&amp;"-"&amp;B70,'④回収ファイル一覧'!$K$4:$K$11,0)),"")</f>
        <v/>
      </c>
      <c r="L70" s="18">
        <f t="array" ref="L70">IFERROR(INDEX('④回収ファイル一覧'!$I$4:$I$11,MATCH(A70&amp;"-"&amp;B70,'④回収ファイル一覧'!$K$4:$K$11,0)),"")</f>
        <v/>
      </c>
      <c r="M70" s="18">
        <f t="array" ref="M70">IFERROR(INDEX('④回収ファイル一覧'!$J$4:$J$11,MATCH(A70&amp;"-"&amp;B70,'④回収ファイル一覧'!$K$4:$K$11,0)),"")</f>
        <v/>
      </c>
    </row>
    <row r="71" ht="17.25" customHeight="1" s="41">
      <c r="A71" s="31" t="n">
        <v>2</v>
      </c>
      <c r="B71" s="31" t="n">
        <v>2</v>
      </c>
      <c r="C71" s="26" t="inlineStr">
        <is>
          <t>B1</t>
        </is>
      </c>
      <c r="D71" s="27" t="inlineStr">
        <is>
          <t>声を出して笑う</t>
        </is>
      </c>
      <c r="E71" s="31" t="inlineStr">
        <is>
          <t>反応する</t>
        </is>
      </c>
      <c r="F71" s="31" t="n"/>
      <c r="G71" s="31" t="n"/>
      <c r="H71" s="31" t="n"/>
      <c r="I71" s="32" t="n"/>
      <c r="J71" s="18">
        <f t="array" ref="J71">IFERROR(INDEX('④回収ファイル一覧'!$G$4:$G$11,MATCH(A71&amp;"-"&amp;B71,'④回収ファイル一覧'!$K$4:$K$11,0)),"")</f>
        <v/>
      </c>
      <c r="K71" s="18">
        <f t="array" ref="K71">IFERROR(INDEX('④回収ファイル一覧'!$H$4:$H$11,MATCH(A71&amp;"-"&amp;B71,'④回収ファイル一覧'!$K$4:$K$11,0)),"")</f>
        <v/>
      </c>
      <c r="L71" s="18">
        <f t="array" ref="L71">IFERROR(INDEX('④回収ファイル一覧'!$I$4:$I$11,MATCH(A71&amp;"-"&amp;B71,'④回収ファイル一覧'!$K$4:$K$11,0)),"")</f>
        <v/>
      </c>
      <c r="M71" s="18">
        <f t="array" ref="M71">IFERROR(INDEX('④回収ファイル一覧'!$J$4:$J$11,MATCH(A71&amp;"-"&amp;B71,'④回収ファイル一覧'!$K$4:$K$11,0)),"")</f>
        <v/>
      </c>
    </row>
    <row r="72" ht="17.25" customHeight="1" s="41">
      <c r="A72" s="31" t="n">
        <v>2</v>
      </c>
      <c r="B72" s="31" t="n">
        <v>2</v>
      </c>
      <c r="C72" s="26" t="inlineStr">
        <is>
          <t>B2</t>
        </is>
      </c>
      <c r="D72" s="27" t="inlineStr">
        <is>
          <t>驚く</t>
        </is>
      </c>
      <c r="E72" s="31" t="inlineStr">
        <is>
          <t>反応する</t>
        </is>
      </c>
      <c r="F72" s="31" t="n"/>
      <c r="G72" s="31" t="n"/>
      <c r="H72" s="31" t="n"/>
      <c r="I72" s="32" t="n"/>
      <c r="J72" s="18">
        <f t="array" ref="J72">IFERROR(INDEX('④回収ファイル一覧'!$G$4:$G$11,MATCH(A72&amp;"-"&amp;B72,'④回収ファイル一覧'!$K$4:$K$11,0)),"")</f>
        <v/>
      </c>
      <c r="K72" s="18">
        <f t="array" ref="K72">IFERROR(INDEX('④回収ファイル一覧'!$H$4:$H$11,MATCH(A72&amp;"-"&amp;B72,'④回収ファイル一覧'!$K$4:$K$11,0)),"")</f>
        <v/>
      </c>
      <c r="L72" s="18">
        <f t="array" ref="L72">IFERROR(INDEX('④回収ファイル一覧'!$I$4:$I$11,MATCH(A72&amp;"-"&amp;B72,'④回収ファイル一覧'!$K$4:$K$11,0)),"")</f>
        <v/>
      </c>
      <c r="M72" s="18">
        <f t="array" ref="M72">IFERROR(INDEX('④回収ファイル一覧'!$J$4:$J$11,MATCH(A72&amp;"-"&amp;B72,'④回収ファイル一覧'!$K$4:$K$11,0)),"")</f>
        <v/>
      </c>
    </row>
    <row r="73" ht="17.25" customHeight="1" s="41">
      <c r="A73" s="31" t="n">
        <v>2</v>
      </c>
      <c r="B73" s="31" t="n">
        <v>2</v>
      </c>
      <c r="C73" s="26" t="inlineStr">
        <is>
          <t>B3</t>
        </is>
      </c>
      <c r="D73" s="27" t="inlineStr">
        <is>
          <t>怒る</t>
        </is>
      </c>
      <c r="E73" s="31" t="inlineStr">
        <is>
          <t>反応する</t>
        </is>
      </c>
      <c r="F73" s="31" t="n"/>
      <c r="G73" s="31" t="n"/>
      <c r="H73" s="31" t="n"/>
      <c r="I73" s="32" t="n"/>
      <c r="J73" s="18">
        <f t="array" ref="J73">IFERROR(INDEX('④回収ファイル一覧'!$G$4:$G$11,MATCH(A73&amp;"-"&amp;B73,'④回収ファイル一覧'!$K$4:$K$11,0)),"")</f>
        <v/>
      </c>
      <c r="K73" s="18">
        <f t="array" ref="K73">IFERROR(INDEX('④回収ファイル一覧'!$H$4:$H$11,MATCH(A73&amp;"-"&amp;B73,'④回収ファイル一覧'!$K$4:$K$11,0)),"")</f>
        <v/>
      </c>
      <c r="L73" s="18">
        <f t="array" ref="L73">IFERROR(INDEX('④回収ファイル一覧'!$I$4:$I$11,MATCH(A73&amp;"-"&amp;B73,'④回収ファイル一覧'!$K$4:$K$11,0)),"")</f>
        <v/>
      </c>
      <c r="M73" s="18">
        <f t="array" ref="M73">IFERROR(INDEX('④回収ファイル一覧'!$J$4:$J$11,MATCH(A73&amp;"-"&amp;B73,'④回収ファイル一覧'!$K$4:$K$11,0)),"")</f>
        <v/>
      </c>
    </row>
    <row r="74" ht="33.75" customHeight="1" s="41">
      <c r="A74" s="31" t="n">
        <v>2</v>
      </c>
      <c r="B74" s="31" t="n">
        <v>2</v>
      </c>
      <c r="C74" s="26" t="inlineStr">
        <is>
          <t>B4</t>
        </is>
      </c>
      <c r="D74" s="27" t="inlineStr">
        <is>
          <t>静かに笑う（声量そのまま）</t>
        </is>
      </c>
      <c r="E74" s="31" t="inlineStr">
        <is>
          <t>反応する</t>
        </is>
      </c>
      <c r="F74" s="31" t="n"/>
      <c r="G74" s="31" t="n"/>
      <c r="H74" s="31" t="n"/>
      <c r="I74" s="32" t="n"/>
      <c r="J74" s="18">
        <f t="array" ref="J74">IFERROR(INDEX('④回収ファイル一覧'!$G$4:$G$11,MATCH(A74&amp;"-"&amp;B74,'④回収ファイル一覧'!$K$4:$K$11,0)),"")</f>
        <v/>
      </c>
      <c r="K74" s="18">
        <f t="array" ref="K74">IFERROR(INDEX('④回収ファイル一覧'!$H$4:$H$11,MATCH(A74&amp;"-"&amp;B74,'④回収ファイル一覧'!$K$4:$K$11,0)),"")</f>
        <v/>
      </c>
      <c r="L74" s="18">
        <f t="array" ref="L74">IFERROR(INDEX('④回収ファイル一覧'!$I$4:$I$11,MATCH(A74&amp;"-"&amp;B74,'④回収ファイル一覧'!$K$4:$K$11,0)),"")</f>
        <v/>
      </c>
      <c r="M74" s="18">
        <f t="array" ref="M74">IFERROR(INDEX('④回収ファイル一覧'!$J$4:$J$11,MATCH(A74&amp;"-"&amp;B74,'④回収ファイル一覧'!$K$4:$K$11,0)),"")</f>
        <v/>
      </c>
    </row>
    <row r="75" ht="17.25" customHeight="1" s="41">
      <c r="A75" s="31" t="n">
        <v>2</v>
      </c>
      <c r="B75" s="31" t="n">
        <v>2</v>
      </c>
      <c r="C75" s="26" t="inlineStr">
        <is>
          <t>B5</t>
        </is>
      </c>
      <c r="D75" s="27" t="inlineStr">
        <is>
          <t>ほめ言葉（ふだんの声）</t>
        </is>
      </c>
      <c r="E75" s="31" t="inlineStr">
        <is>
          <t>反応する</t>
        </is>
      </c>
      <c r="F75" s="31" t="n"/>
      <c r="G75" s="31" t="n"/>
      <c r="H75" s="31" t="n"/>
      <c r="I75" s="32" t="n"/>
      <c r="J75" s="18">
        <f t="array" ref="J75">IFERROR(INDEX('④回収ファイル一覧'!$G$4:$G$11,MATCH(A75&amp;"-"&amp;B75,'④回収ファイル一覧'!$K$4:$K$11,0)),"")</f>
        <v/>
      </c>
      <c r="K75" s="18">
        <f t="array" ref="K75">IFERROR(INDEX('④回収ファイル一覧'!$H$4:$H$11,MATCH(A75&amp;"-"&amp;B75,'④回収ファイル一覧'!$K$4:$K$11,0)),"")</f>
        <v/>
      </c>
      <c r="L75" s="18">
        <f t="array" ref="L75">IFERROR(INDEX('④回収ファイル一覧'!$I$4:$I$11,MATCH(A75&amp;"-"&amp;B75,'④回収ファイル一覧'!$K$4:$K$11,0)),"")</f>
        <v/>
      </c>
      <c r="M75" s="18">
        <f t="array" ref="M75">IFERROR(INDEX('④回収ファイル一覧'!$J$4:$J$11,MATCH(A75&amp;"-"&amp;B75,'④回収ファイル一覧'!$K$4:$K$11,0)),"")</f>
        <v/>
      </c>
    </row>
    <row r="76" ht="17.25" customHeight="1" s="41">
      <c r="A76" s="31" t="n">
        <v>2</v>
      </c>
      <c r="B76" s="31" t="n">
        <v>2</v>
      </c>
      <c r="C76" s="26" t="inlineStr">
        <is>
          <t>B6</t>
        </is>
      </c>
      <c r="D76" s="27" t="inlineStr">
        <is>
          <t>感極まる</t>
        </is>
      </c>
      <c r="E76" s="31" t="inlineStr">
        <is>
          <t>反応する</t>
        </is>
      </c>
      <c r="F76" s="31" t="n"/>
      <c r="G76" s="31" t="n"/>
      <c r="H76" s="31" t="n"/>
      <c r="I76" s="32" t="n"/>
      <c r="J76" s="18">
        <f t="array" ref="J76">IFERROR(INDEX('④回収ファイル一覧'!$G$4:$G$11,MATCH(A76&amp;"-"&amp;B76,'④回収ファイル一覧'!$K$4:$K$11,0)),"")</f>
        <v/>
      </c>
      <c r="K76" s="18">
        <f t="array" ref="K76">IFERROR(INDEX('④回収ファイル一覧'!$H$4:$H$11,MATCH(A76&amp;"-"&amp;B76,'④回収ファイル一覧'!$K$4:$K$11,0)),"")</f>
        <v/>
      </c>
      <c r="L76" s="18">
        <f t="array" ref="L76">IFERROR(INDEX('④回収ファイル一覧'!$I$4:$I$11,MATCH(A76&amp;"-"&amp;B76,'④回収ファイル一覧'!$K$4:$K$11,0)),"")</f>
        <v/>
      </c>
      <c r="M76" s="18">
        <f t="array" ref="M76">IFERROR(INDEX('④回収ファイル一覧'!$J$4:$J$11,MATCH(A76&amp;"-"&amp;B76,'④回収ファイル一覧'!$K$4:$K$11,0)),"")</f>
        <v/>
      </c>
    </row>
    <row r="77" ht="17.25" customHeight="1" s="41">
      <c r="A77" s="31" t="n">
        <v>2</v>
      </c>
      <c r="B77" s="31" t="n">
        <v>2</v>
      </c>
      <c r="C77" s="29" t="inlineStr">
        <is>
          <t>C1</t>
        </is>
      </c>
      <c r="D77" s="30" t="inlineStr">
        <is>
          <t>咳・くしゃみ・あくび</t>
        </is>
      </c>
      <c r="E77" s="31" t="inlineStr">
        <is>
          <t>記録のみ</t>
        </is>
      </c>
      <c r="F77" s="31" t="n"/>
      <c r="G77" s="31" t="n"/>
      <c r="H77" s="31" t="n"/>
      <c r="I77" s="32" t="n"/>
      <c r="J77" s="18">
        <f t="array" ref="J77">IFERROR(INDEX('④回収ファイル一覧'!$G$4:$G$11,MATCH(A77&amp;"-"&amp;B77,'④回収ファイル一覧'!$K$4:$K$11,0)),"")</f>
        <v/>
      </c>
      <c r="K77" s="18">
        <f t="array" ref="K77">IFERROR(INDEX('④回収ファイル一覧'!$H$4:$H$11,MATCH(A77&amp;"-"&amp;B77,'④回収ファイル一覧'!$K$4:$K$11,0)),"")</f>
        <v/>
      </c>
      <c r="L77" s="18">
        <f t="array" ref="L77">IFERROR(INDEX('④回収ファイル一覧'!$I$4:$I$11,MATCH(A77&amp;"-"&amp;B77,'④回収ファイル一覧'!$K$4:$K$11,0)),"")</f>
        <v/>
      </c>
      <c r="M77" s="18">
        <f t="array" ref="M77">IFERROR(INDEX('④回収ファイル一覧'!$J$4:$J$11,MATCH(A77&amp;"-"&amp;B77,'④回収ファイル一覧'!$K$4:$K$11,0)),"")</f>
        <v/>
      </c>
    </row>
    <row r="78" ht="17.25" customHeight="1" s="41">
      <c r="A78" s="31" t="n">
        <v>2</v>
      </c>
      <c r="B78" s="31" t="n">
        <v>2</v>
      </c>
      <c r="C78" s="29" t="inlineStr">
        <is>
          <t>C2</t>
        </is>
      </c>
      <c r="D78" s="30" t="inlineStr">
        <is>
          <t>笑い続ける30秒</t>
        </is>
      </c>
      <c r="E78" s="19" t="inlineStr">
        <is>
          <t>2回以上反応が正解</t>
        </is>
      </c>
      <c r="F78" s="31" t="n"/>
      <c r="G78" s="31" t="n"/>
      <c r="H78" s="31" t="n"/>
      <c r="I78" s="32" t="n"/>
      <c r="J78" s="18">
        <f t="array" ref="J78">IFERROR(INDEX('④回収ファイル一覧'!$G$4:$G$11,MATCH(A78&amp;"-"&amp;B78,'④回収ファイル一覧'!$K$4:$K$11,0)),"")</f>
        <v/>
      </c>
      <c r="K78" s="18">
        <f t="array" ref="K78">IFERROR(INDEX('④回収ファイル一覧'!$H$4:$H$11,MATCH(A78&amp;"-"&amp;B78,'④回収ファイル一覧'!$K$4:$K$11,0)),"")</f>
        <v/>
      </c>
      <c r="L78" s="18">
        <f t="array" ref="L78">IFERROR(INDEX('④回収ファイル一覧'!$I$4:$I$11,MATCH(A78&amp;"-"&amp;B78,'④回収ファイル一覧'!$K$4:$K$11,0)),"")</f>
        <v/>
      </c>
      <c r="M78" s="18">
        <f t="array" ref="M78">IFERROR(INDEX('④回収ファイル一覧'!$J$4:$J$11,MATCH(A78&amp;"-"&amp;B78,'④回収ファイル一覧'!$K$4:$K$11,0)),"")</f>
        <v/>
      </c>
    </row>
    <row r="79" ht="33.75" customHeight="1" s="41">
      <c r="A79" s="31" t="n">
        <v>2</v>
      </c>
      <c r="B79" s="31" t="n">
        <v>2</v>
      </c>
      <c r="C79" s="29" t="inlineStr">
        <is>
          <t>C3</t>
        </is>
      </c>
      <c r="D79" s="30" t="inlineStr">
        <is>
          <t>家族側が大声（テスター無言）</t>
        </is>
      </c>
      <c r="E79" s="31" t="inlineStr">
        <is>
          <t>記録のみ</t>
        </is>
      </c>
      <c r="F79" s="31" t="n"/>
      <c r="G79" s="31" t="n"/>
      <c r="H79" s="31" t="n"/>
      <c r="I79" s="32" t="n"/>
      <c r="J79" s="18">
        <f t="array" ref="J79">IFERROR(INDEX('④回収ファイル一覧'!$G$4:$G$11,MATCH(A79&amp;"-"&amp;B79,'④回収ファイル一覧'!$K$4:$K$11,0)),"")</f>
        <v/>
      </c>
      <c r="K79" s="18">
        <f t="array" ref="K79">IFERROR(INDEX('④回収ファイル一覧'!$H$4:$H$11,MATCH(A79&amp;"-"&amp;B79,'④回収ファイル一覧'!$K$4:$K$11,0)),"")</f>
        <v/>
      </c>
      <c r="L79" s="18">
        <f t="array" ref="L79">IFERROR(INDEX('④回収ファイル一覧'!$I$4:$I$11,MATCH(A79&amp;"-"&amp;B79,'④回収ファイル一覧'!$K$4:$K$11,0)),"")</f>
        <v/>
      </c>
      <c r="M79" s="18">
        <f t="array" ref="M79">IFERROR(INDEX('④回収ファイル一覧'!$J$4:$J$11,MATCH(A79&amp;"-"&amp;B79,'④回収ファイル一覧'!$K$4:$K$11,0)),"")</f>
        <v/>
      </c>
    </row>
    <row r="80" ht="17.25" customHeight="1" s="41">
      <c r="A80" s="31" t="n">
        <v>2</v>
      </c>
      <c r="B80" s="31" t="n">
        <v>3</v>
      </c>
      <c r="C80" s="20" t="inlineStr">
        <is>
          <t>A1</t>
        </is>
      </c>
      <c r="D80" s="21" t="inlineStr">
        <is>
          <t>静かにする</t>
        </is>
      </c>
      <c r="E80" s="31" t="inlineStr">
        <is>
          <t>反応しない</t>
        </is>
      </c>
      <c r="F80" s="31" t="n"/>
      <c r="G80" s="31" t="n"/>
      <c r="H80" s="31" t="n"/>
      <c r="I80" s="32" t="n"/>
      <c r="J80" s="18">
        <f t="array" ref="J80">IFERROR(INDEX('④回収ファイル一覧'!$G$4:$G$11,MATCH(A80&amp;"-"&amp;B80,'④回収ファイル一覧'!$K$4:$K$11,0)),"")</f>
        <v/>
      </c>
      <c r="K80" s="18">
        <f t="array" ref="K80">IFERROR(INDEX('④回収ファイル一覧'!$H$4:$H$11,MATCH(A80&amp;"-"&amp;B80,'④回収ファイル一覧'!$K$4:$K$11,0)),"")</f>
        <v/>
      </c>
      <c r="L80" s="18">
        <f t="array" ref="L80">IFERROR(INDEX('④回収ファイル一覧'!$I$4:$I$11,MATCH(A80&amp;"-"&amp;B80,'④回収ファイル一覧'!$K$4:$K$11,0)),"")</f>
        <v/>
      </c>
      <c r="M80" s="18">
        <f t="array" ref="M80">IFERROR(INDEX('④回収ファイル一覧'!$J$4:$J$11,MATCH(A80&amp;"-"&amp;B80,'④回収ファイル一覧'!$K$4:$K$11,0)),"")</f>
        <v/>
      </c>
    </row>
    <row r="81" ht="17.25" customHeight="1" s="41">
      <c r="A81" s="31" t="n">
        <v>2</v>
      </c>
      <c r="B81" s="31" t="n">
        <v>3</v>
      </c>
      <c r="C81" s="20" t="inlineStr">
        <is>
          <t>A2</t>
        </is>
      </c>
      <c r="D81" s="21" t="inlineStr">
        <is>
          <t>ふつうの雑談（10分）</t>
        </is>
      </c>
      <c r="E81" s="31" t="inlineStr">
        <is>
          <t>反応しない</t>
        </is>
      </c>
      <c r="F81" s="31" t="n"/>
      <c r="G81" s="31" t="n"/>
      <c r="H81" s="31" t="n"/>
      <c r="I81" s="32" t="n"/>
      <c r="J81" s="18">
        <f t="array" ref="J81">IFERROR(INDEX('④回収ファイル一覧'!$G$4:$G$11,MATCH(A81&amp;"-"&amp;B81,'④回収ファイル一覧'!$K$4:$K$11,0)),"")</f>
        <v/>
      </c>
      <c r="K81" s="18">
        <f t="array" ref="K81">IFERROR(INDEX('④回収ファイル一覧'!$H$4:$H$11,MATCH(A81&amp;"-"&amp;B81,'④回収ファイル一覧'!$K$4:$K$11,0)),"")</f>
        <v/>
      </c>
      <c r="L81" s="18">
        <f t="array" ref="L81">IFERROR(INDEX('④回収ファイル一覧'!$I$4:$I$11,MATCH(A81&amp;"-"&amp;B81,'④回収ファイル一覧'!$K$4:$K$11,0)),"")</f>
        <v/>
      </c>
      <c r="M81" s="18">
        <f t="array" ref="M81">IFERROR(INDEX('④回収ファイル一覧'!$J$4:$J$11,MATCH(A81&amp;"-"&amp;B81,'④回収ファイル一覧'!$K$4:$K$11,0)),"")</f>
        <v/>
      </c>
    </row>
    <row r="82" ht="17.25" customHeight="1" s="41">
      <c r="A82" s="31" t="n">
        <v>2</v>
      </c>
      <c r="B82" s="31" t="n">
        <v>3</v>
      </c>
      <c r="C82" s="20" t="inlineStr">
        <is>
          <t>A3</t>
        </is>
      </c>
      <c r="D82" s="21" t="inlineStr">
        <is>
          <t>本を読む</t>
        </is>
      </c>
      <c r="E82" s="31" t="inlineStr">
        <is>
          <t>反応しない</t>
        </is>
      </c>
      <c r="F82" s="31" t="n"/>
      <c r="G82" s="31" t="n"/>
      <c r="H82" s="31" t="n"/>
      <c r="I82" s="32" t="n"/>
      <c r="J82" s="18">
        <f t="array" ref="J82">IFERROR(INDEX('④回収ファイル一覧'!$G$4:$G$11,MATCH(A82&amp;"-"&amp;B82,'④回収ファイル一覧'!$K$4:$K$11,0)),"")</f>
        <v/>
      </c>
      <c r="K82" s="18">
        <f t="array" ref="K82">IFERROR(INDEX('④回収ファイル一覧'!$H$4:$H$11,MATCH(A82&amp;"-"&amp;B82,'④回収ファイル一覧'!$K$4:$K$11,0)),"")</f>
        <v/>
      </c>
      <c r="L82" s="18">
        <f t="array" ref="L82">IFERROR(INDEX('④回収ファイル一覧'!$I$4:$I$11,MATCH(A82&amp;"-"&amp;B82,'④回収ファイル一覧'!$K$4:$K$11,0)),"")</f>
        <v/>
      </c>
      <c r="M82" s="18">
        <f t="array" ref="M82">IFERROR(INDEX('④回収ファイル一覧'!$J$4:$J$11,MATCH(A82&amp;"-"&amp;B82,'④回収ファイル一覧'!$K$4:$K$11,0)),"")</f>
        <v/>
      </c>
    </row>
    <row r="83" ht="17.25" customHeight="1" s="41">
      <c r="A83" s="31" t="n">
        <v>2</v>
      </c>
      <c r="B83" s="31" t="n">
        <v>3</v>
      </c>
      <c r="C83" s="20" t="inlineStr">
        <is>
          <t>A4</t>
        </is>
      </c>
      <c r="D83" s="21" t="inlineStr">
        <is>
          <t>生活音を出す</t>
        </is>
      </c>
      <c r="E83" s="31" t="inlineStr">
        <is>
          <t>反応しない</t>
        </is>
      </c>
      <c r="F83" s="31" t="n"/>
      <c r="G83" s="31" t="n"/>
      <c r="H83" s="31" t="n"/>
      <c r="I83" s="32" t="n"/>
      <c r="J83" s="18">
        <f t="array" ref="J83">IFERROR(INDEX('④回収ファイル一覧'!$G$4:$G$11,MATCH(A83&amp;"-"&amp;B83,'④回収ファイル一覧'!$K$4:$K$11,0)),"")</f>
        <v/>
      </c>
      <c r="K83" s="18">
        <f t="array" ref="K83">IFERROR(INDEX('④回収ファイル一覧'!$H$4:$H$11,MATCH(A83&amp;"-"&amp;B83,'④回収ファイル一覧'!$K$4:$K$11,0)),"")</f>
        <v/>
      </c>
      <c r="L83" s="18">
        <f t="array" ref="L83">IFERROR(INDEX('④回収ファイル一覧'!$I$4:$I$11,MATCH(A83&amp;"-"&amp;B83,'④回収ファイル一覧'!$K$4:$K$11,0)),"")</f>
        <v/>
      </c>
      <c r="M83" s="18">
        <f t="array" ref="M83">IFERROR(INDEX('④回収ファイル一覧'!$J$4:$J$11,MATCH(A83&amp;"-"&amp;B83,'④回収ファイル一覧'!$K$4:$K$11,0)),"")</f>
        <v/>
      </c>
    </row>
    <row r="84" ht="33.75" customHeight="1" s="41">
      <c r="A84" s="31" t="n">
        <v>2</v>
      </c>
      <c r="B84" s="31" t="n">
        <v>3</v>
      </c>
      <c r="C84" s="20" t="inlineStr">
        <is>
          <t>A5</t>
        </is>
      </c>
      <c r="D84" s="21" t="inlineStr">
        <is>
          <t>最初のあいさつ（かけ直し）</t>
        </is>
      </c>
      <c r="E84" s="31" t="inlineStr">
        <is>
          <t>反応しない</t>
        </is>
      </c>
      <c r="F84" s="31" t="n"/>
      <c r="G84" s="31" t="n"/>
      <c r="H84" s="31" t="n"/>
      <c r="I84" s="32" t="n"/>
      <c r="J84" s="18">
        <f t="array" ref="J84">IFERROR(INDEX('④回収ファイル一覧'!$G$4:$G$11,MATCH(A84&amp;"-"&amp;B84,'④回収ファイル一覧'!$K$4:$K$11,0)),"")</f>
        <v/>
      </c>
      <c r="K84" s="18">
        <f t="array" ref="K84">IFERROR(INDEX('④回収ファイル一覧'!$H$4:$H$11,MATCH(A84&amp;"-"&amp;B84,'④回収ファイル一覧'!$K$4:$K$11,0)),"")</f>
        <v/>
      </c>
      <c r="L84" s="18">
        <f t="array" ref="L84">IFERROR(INDEX('④回収ファイル一覧'!$I$4:$I$11,MATCH(A84&amp;"-"&amp;B84,'④回収ファイル一覧'!$K$4:$K$11,0)),"")</f>
        <v/>
      </c>
      <c r="M84" s="18">
        <f t="array" ref="M84">IFERROR(INDEX('④回収ファイル一覧'!$J$4:$J$11,MATCH(A84&amp;"-"&amp;B84,'④回収ファイル一覧'!$K$4:$K$11,0)),"")</f>
        <v/>
      </c>
    </row>
    <row r="85" ht="17.25" customHeight="1" s="41">
      <c r="A85" s="31" t="n">
        <v>2</v>
      </c>
      <c r="B85" s="31" t="n">
        <v>3</v>
      </c>
      <c r="C85" s="20" t="inlineStr">
        <is>
          <t>A6</t>
        </is>
      </c>
      <c r="D85" s="21" t="inlineStr">
        <is>
          <t>立って戻る</t>
        </is>
      </c>
      <c r="E85" s="31" t="inlineStr">
        <is>
          <t>反応しない</t>
        </is>
      </c>
      <c r="F85" s="31" t="n"/>
      <c r="G85" s="31" t="n"/>
      <c r="H85" s="31" t="n"/>
      <c r="I85" s="32" t="n"/>
      <c r="J85" s="18">
        <f t="array" ref="J85">IFERROR(INDEX('④回収ファイル一覧'!$G$4:$G$11,MATCH(A85&amp;"-"&amp;B85,'④回収ファイル一覧'!$K$4:$K$11,0)),"")</f>
        <v/>
      </c>
      <c r="K85" s="18">
        <f t="array" ref="K85">IFERROR(INDEX('④回収ファイル一覧'!$H$4:$H$11,MATCH(A85&amp;"-"&amp;B85,'④回収ファイル一覧'!$K$4:$K$11,0)),"")</f>
        <v/>
      </c>
      <c r="L85" s="18">
        <f t="array" ref="L85">IFERROR(INDEX('④回収ファイル一覧'!$I$4:$I$11,MATCH(A85&amp;"-"&amp;B85,'④回収ファイル一覧'!$K$4:$K$11,0)),"")</f>
        <v/>
      </c>
      <c r="M85" s="18">
        <f t="array" ref="M85">IFERROR(INDEX('④回収ファイル一覧'!$J$4:$J$11,MATCH(A85&amp;"-"&amp;B85,'④回収ファイル一覧'!$K$4:$K$11,0)),"")</f>
        <v/>
      </c>
    </row>
    <row r="86" ht="17.25" customHeight="1" s="41">
      <c r="A86" s="31" t="n">
        <v>2</v>
      </c>
      <c r="B86" s="31" t="n">
        <v>3</v>
      </c>
      <c r="C86" s="26" t="inlineStr">
        <is>
          <t>B1</t>
        </is>
      </c>
      <c r="D86" s="27" t="inlineStr">
        <is>
          <t>声を出して笑う</t>
        </is>
      </c>
      <c r="E86" s="31" t="inlineStr">
        <is>
          <t>反応する</t>
        </is>
      </c>
      <c r="F86" s="31" t="n"/>
      <c r="G86" s="31" t="n"/>
      <c r="H86" s="31" t="n"/>
      <c r="I86" s="32" t="n"/>
      <c r="J86" s="18">
        <f t="array" ref="J86">IFERROR(INDEX('④回収ファイル一覧'!$G$4:$G$11,MATCH(A86&amp;"-"&amp;B86,'④回収ファイル一覧'!$K$4:$K$11,0)),"")</f>
        <v/>
      </c>
      <c r="K86" s="18">
        <f t="array" ref="K86">IFERROR(INDEX('④回収ファイル一覧'!$H$4:$H$11,MATCH(A86&amp;"-"&amp;B86,'④回収ファイル一覧'!$K$4:$K$11,0)),"")</f>
        <v/>
      </c>
      <c r="L86" s="18">
        <f t="array" ref="L86">IFERROR(INDEX('④回収ファイル一覧'!$I$4:$I$11,MATCH(A86&amp;"-"&amp;B86,'④回収ファイル一覧'!$K$4:$K$11,0)),"")</f>
        <v/>
      </c>
      <c r="M86" s="18">
        <f t="array" ref="M86">IFERROR(INDEX('④回収ファイル一覧'!$J$4:$J$11,MATCH(A86&amp;"-"&amp;B86,'④回収ファイル一覧'!$K$4:$K$11,0)),"")</f>
        <v/>
      </c>
    </row>
    <row r="87" ht="17.25" customHeight="1" s="41">
      <c r="A87" s="31" t="n">
        <v>2</v>
      </c>
      <c r="B87" s="31" t="n">
        <v>3</v>
      </c>
      <c r="C87" s="26" t="inlineStr">
        <is>
          <t>B2</t>
        </is>
      </c>
      <c r="D87" s="27" t="inlineStr">
        <is>
          <t>驚く</t>
        </is>
      </c>
      <c r="E87" s="31" t="inlineStr">
        <is>
          <t>反応する</t>
        </is>
      </c>
      <c r="F87" s="31" t="n"/>
      <c r="G87" s="31" t="n"/>
      <c r="H87" s="31" t="n"/>
      <c r="I87" s="32" t="n"/>
      <c r="J87" s="18">
        <f t="array" ref="J87">IFERROR(INDEX('④回収ファイル一覧'!$G$4:$G$11,MATCH(A87&amp;"-"&amp;B87,'④回収ファイル一覧'!$K$4:$K$11,0)),"")</f>
        <v/>
      </c>
      <c r="K87" s="18">
        <f t="array" ref="K87">IFERROR(INDEX('④回収ファイル一覧'!$H$4:$H$11,MATCH(A87&amp;"-"&amp;B87,'④回収ファイル一覧'!$K$4:$K$11,0)),"")</f>
        <v/>
      </c>
      <c r="L87" s="18">
        <f t="array" ref="L87">IFERROR(INDEX('④回収ファイル一覧'!$I$4:$I$11,MATCH(A87&amp;"-"&amp;B87,'④回収ファイル一覧'!$K$4:$K$11,0)),"")</f>
        <v/>
      </c>
      <c r="M87" s="18">
        <f t="array" ref="M87">IFERROR(INDEX('④回収ファイル一覧'!$J$4:$J$11,MATCH(A87&amp;"-"&amp;B87,'④回収ファイル一覧'!$K$4:$K$11,0)),"")</f>
        <v/>
      </c>
    </row>
    <row r="88" ht="17.25" customHeight="1" s="41">
      <c r="A88" s="31" t="n">
        <v>2</v>
      </c>
      <c r="B88" s="31" t="n">
        <v>3</v>
      </c>
      <c r="C88" s="26" t="inlineStr">
        <is>
          <t>B3</t>
        </is>
      </c>
      <c r="D88" s="27" t="inlineStr">
        <is>
          <t>怒る</t>
        </is>
      </c>
      <c r="E88" s="31" t="inlineStr">
        <is>
          <t>反応する</t>
        </is>
      </c>
      <c r="F88" s="31" t="n"/>
      <c r="G88" s="31" t="n"/>
      <c r="H88" s="31" t="n"/>
      <c r="I88" s="32" t="n"/>
      <c r="J88" s="18">
        <f t="array" ref="J88">IFERROR(INDEX('④回収ファイル一覧'!$G$4:$G$11,MATCH(A88&amp;"-"&amp;B88,'④回収ファイル一覧'!$K$4:$K$11,0)),"")</f>
        <v/>
      </c>
      <c r="K88" s="18">
        <f t="array" ref="K88">IFERROR(INDEX('④回収ファイル一覧'!$H$4:$H$11,MATCH(A88&amp;"-"&amp;B88,'④回収ファイル一覧'!$K$4:$K$11,0)),"")</f>
        <v/>
      </c>
      <c r="L88" s="18">
        <f t="array" ref="L88">IFERROR(INDEX('④回収ファイル一覧'!$I$4:$I$11,MATCH(A88&amp;"-"&amp;B88,'④回収ファイル一覧'!$K$4:$K$11,0)),"")</f>
        <v/>
      </c>
      <c r="M88" s="18">
        <f t="array" ref="M88">IFERROR(INDEX('④回収ファイル一覧'!$J$4:$J$11,MATCH(A88&amp;"-"&amp;B88,'④回収ファイル一覧'!$K$4:$K$11,0)),"")</f>
        <v/>
      </c>
    </row>
    <row r="89" ht="33.75" customHeight="1" s="41">
      <c r="A89" s="31" t="n">
        <v>2</v>
      </c>
      <c r="B89" s="31" t="n">
        <v>3</v>
      </c>
      <c r="C89" s="26" t="inlineStr">
        <is>
          <t>B4</t>
        </is>
      </c>
      <c r="D89" s="27" t="inlineStr">
        <is>
          <t>静かに笑う（声量そのまま）</t>
        </is>
      </c>
      <c r="E89" s="31" t="inlineStr">
        <is>
          <t>反応する</t>
        </is>
      </c>
      <c r="F89" s="31" t="n"/>
      <c r="G89" s="31" t="n"/>
      <c r="H89" s="31" t="n"/>
      <c r="I89" s="32" t="n"/>
      <c r="J89" s="18">
        <f t="array" ref="J89">IFERROR(INDEX('④回収ファイル一覧'!$G$4:$G$11,MATCH(A89&amp;"-"&amp;B89,'④回収ファイル一覧'!$K$4:$K$11,0)),"")</f>
        <v/>
      </c>
      <c r="K89" s="18">
        <f t="array" ref="K89">IFERROR(INDEX('④回収ファイル一覧'!$H$4:$H$11,MATCH(A89&amp;"-"&amp;B89,'④回収ファイル一覧'!$K$4:$K$11,0)),"")</f>
        <v/>
      </c>
      <c r="L89" s="18">
        <f t="array" ref="L89">IFERROR(INDEX('④回収ファイル一覧'!$I$4:$I$11,MATCH(A89&amp;"-"&amp;B89,'④回収ファイル一覧'!$K$4:$K$11,0)),"")</f>
        <v/>
      </c>
      <c r="M89" s="18">
        <f t="array" ref="M89">IFERROR(INDEX('④回収ファイル一覧'!$J$4:$J$11,MATCH(A89&amp;"-"&amp;B89,'④回収ファイル一覧'!$K$4:$K$11,0)),"")</f>
        <v/>
      </c>
    </row>
    <row r="90" ht="17.25" customHeight="1" s="41">
      <c r="A90" s="31" t="n">
        <v>2</v>
      </c>
      <c r="B90" s="31" t="n">
        <v>3</v>
      </c>
      <c r="C90" s="26" t="inlineStr">
        <is>
          <t>B5</t>
        </is>
      </c>
      <c r="D90" s="27" t="inlineStr">
        <is>
          <t>ほめ言葉（ふだんの声）</t>
        </is>
      </c>
      <c r="E90" s="31" t="inlineStr">
        <is>
          <t>反応する</t>
        </is>
      </c>
      <c r="F90" s="31" t="n"/>
      <c r="G90" s="31" t="n"/>
      <c r="H90" s="31" t="n"/>
      <c r="I90" s="32" t="n"/>
      <c r="J90" s="18">
        <f t="array" ref="J90">IFERROR(INDEX('④回収ファイル一覧'!$G$4:$G$11,MATCH(A90&amp;"-"&amp;B90,'④回収ファイル一覧'!$K$4:$K$11,0)),"")</f>
        <v/>
      </c>
      <c r="K90" s="18">
        <f t="array" ref="K90">IFERROR(INDEX('④回収ファイル一覧'!$H$4:$H$11,MATCH(A90&amp;"-"&amp;B90,'④回収ファイル一覧'!$K$4:$K$11,0)),"")</f>
        <v/>
      </c>
      <c r="L90" s="18">
        <f t="array" ref="L90">IFERROR(INDEX('④回収ファイル一覧'!$I$4:$I$11,MATCH(A90&amp;"-"&amp;B90,'④回収ファイル一覧'!$K$4:$K$11,0)),"")</f>
        <v/>
      </c>
      <c r="M90" s="18">
        <f t="array" ref="M90">IFERROR(INDEX('④回収ファイル一覧'!$J$4:$J$11,MATCH(A90&amp;"-"&amp;B90,'④回収ファイル一覧'!$K$4:$K$11,0)),"")</f>
        <v/>
      </c>
    </row>
    <row r="91" ht="17.25" customHeight="1" s="41">
      <c r="A91" s="31" t="n">
        <v>2</v>
      </c>
      <c r="B91" s="31" t="n">
        <v>3</v>
      </c>
      <c r="C91" s="26" t="inlineStr">
        <is>
          <t>B6</t>
        </is>
      </c>
      <c r="D91" s="27" t="inlineStr">
        <is>
          <t>感極まる</t>
        </is>
      </c>
      <c r="E91" s="31" t="inlineStr">
        <is>
          <t>反応する</t>
        </is>
      </c>
      <c r="F91" s="31" t="n"/>
      <c r="G91" s="31" t="n"/>
      <c r="H91" s="31" t="n"/>
      <c r="I91" s="32" t="n"/>
      <c r="J91" s="18">
        <f t="array" ref="J91">IFERROR(INDEX('④回収ファイル一覧'!$G$4:$G$11,MATCH(A91&amp;"-"&amp;B91,'④回収ファイル一覧'!$K$4:$K$11,0)),"")</f>
        <v/>
      </c>
      <c r="K91" s="18">
        <f t="array" ref="K91">IFERROR(INDEX('④回収ファイル一覧'!$H$4:$H$11,MATCH(A91&amp;"-"&amp;B91,'④回収ファイル一覧'!$K$4:$K$11,0)),"")</f>
        <v/>
      </c>
      <c r="L91" s="18">
        <f t="array" ref="L91">IFERROR(INDEX('④回収ファイル一覧'!$I$4:$I$11,MATCH(A91&amp;"-"&amp;B91,'④回収ファイル一覧'!$K$4:$K$11,0)),"")</f>
        <v/>
      </c>
      <c r="M91" s="18">
        <f t="array" ref="M91">IFERROR(INDEX('④回収ファイル一覧'!$J$4:$J$11,MATCH(A91&amp;"-"&amp;B91,'④回収ファイル一覧'!$K$4:$K$11,0)),"")</f>
        <v/>
      </c>
    </row>
    <row r="92" ht="17.25" customHeight="1" s="41">
      <c r="A92" s="31" t="n">
        <v>2</v>
      </c>
      <c r="B92" s="31" t="n">
        <v>3</v>
      </c>
      <c r="C92" s="29" t="inlineStr">
        <is>
          <t>C1</t>
        </is>
      </c>
      <c r="D92" s="30" t="inlineStr">
        <is>
          <t>咳・くしゃみ・あくび</t>
        </is>
      </c>
      <c r="E92" s="31" t="inlineStr">
        <is>
          <t>記録のみ</t>
        </is>
      </c>
      <c r="F92" s="31" t="n"/>
      <c r="G92" s="31" t="n"/>
      <c r="H92" s="31" t="n"/>
      <c r="I92" s="32" t="n"/>
      <c r="J92" s="18">
        <f t="array" ref="J92">IFERROR(INDEX('④回収ファイル一覧'!$G$4:$G$11,MATCH(A92&amp;"-"&amp;B92,'④回収ファイル一覧'!$K$4:$K$11,0)),"")</f>
        <v/>
      </c>
      <c r="K92" s="18">
        <f t="array" ref="K92">IFERROR(INDEX('④回収ファイル一覧'!$H$4:$H$11,MATCH(A92&amp;"-"&amp;B92,'④回収ファイル一覧'!$K$4:$K$11,0)),"")</f>
        <v/>
      </c>
      <c r="L92" s="18">
        <f t="array" ref="L92">IFERROR(INDEX('④回収ファイル一覧'!$I$4:$I$11,MATCH(A92&amp;"-"&amp;B92,'④回収ファイル一覧'!$K$4:$K$11,0)),"")</f>
        <v/>
      </c>
      <c r="M92" s="18">
        <f t="array" ref="M92">IFERROR(INDEX('④回収ファイル一覧'!$J$4:$J$11,MATCH(A92&amp;"-"&amp;B92,'④回収ファイル一覧'!$K$4:$K$11,0)),"")</f>
        <v/>
      </c>
    </row>
    <row r="93" ht="17.25" customHeight="1" s="41">
      <c r="A93" s="31" t="n">
        <v>2</v>
      </c>
      <c r="B93" s="31" t="n">
        <v>3</v>
      </c>
      <c r="C93" s="29" t="inlineStr">
        <is>
          <t>C2</t>
        </is>
      </c>
      <c r="D93" s="30" t="inlineStr">
        <is>
          <t>笑い続ける30秒</t>
        </is>
      </c>
      <c r="E93" s="19" t="inlineStr">
        <is>
          <t>2回以上反応が正解</t>
        </is>
      </c>
      <c r="F93" s="31" t="n"/>
      <c r="G93" s="31" t="n"/>
      <c r="H93" s="31" t="n"/>
      <c r="I93" s="32" t="n"/>
      <c r="J93" s="18">
        <f t="array" ref="J93">IFERROR(INDEX('④回収ファイル一覧'!$G$4:$G$11,MATCH(A93&amp;"-"&amp;B93,'④回収ファイル一覧'!$K$4:$K$11,0)),"")</f>
        <v/>
      </c>
      <c r="K93" s="18">
        <f t="array" ref="K93">IFERROR(INDEX('④回収ファイル一覧'!$H$4:$H$11,MATCH(A93&amp;"-"&amp;B93,'④回収ファイル一覧'!$K$4:$K$11,0)),"")</f>
        <v/>
      </c>
      <c r="L93" s="18">
        <f t="array" ref="L93">IFERROR(INDEX('④回収ファイル一覧'!$I$4:$I$11,MATCH(A93&amp;"-"&amp;B93,'④回収ファイル一覧'!$K$4:$K$11,0)),"")</f>
        <v/>
      </c>
      <c r="M93" s="18">
        <f t="array" ref="M93">IFERROR(INDEX('④回収ファイル一覧'!$J$4:$J$11,MATCH(A93&amp;"-"&amp;B93,'④回収ファイル一覧'!$K$4:$K$11,0)),"")</f>
        <v/>
      </c>
    </row>
    <row r="94" ht="33.75" customHeight="1" s="41">
      <c r="A94" s="31" t="n">
        <v>2</v>
      </c>
      <c r="B94" s="31" t="n">
        <v>3</v>
      </c>
      <c r="C94" s="29" t="inlineStr">
        <is>
          <t>C3</t>
        </is>
      </c>
      <c r="D94" s="30" t="inlineStr">
        <is>
          <t>家族側が大声（テスター無言）</t>
        </is>
      </c>
      <c r="E94" s="31" t="inlineStr">
        <is>
          <t>記録のみ</t>
        </is>
      </c>
      <c r="F94" s="31" t="n"/>
      <c r="G94" s="31" t="n"/>
      <c r="H94" s="31" t="n"/>
      <c r="I94" s="32" t="n"/>
      <c r="J94" s="18">
        <f t="array" ref="J94">IFERROR(INDEX('④回収ファイル一覧'!$G$4:$G$11,MATCH(A94&amp;"-"&amp;B94,'④回収ファイル一覧'!$K$4:$K$11,0)),"")</f>
        <v/>
      </c>
      <c r="K94" s="18">
        <f t="array" ref="K94">IFERROR(INDEX('④回収ファイル一覧'!$H$4:$H$11,MATCH(A94&amp;"-"&amp;B94,'④回収ファイル一覧'!$K$4:$K$11,0)),"")</f>
        <v/>
      </c>
      <c r="L94" s="18">
        <f t="array" ref="L94">IFERROR(INDEX('④回収ファイル一覧'!$I$4:$I$11,MATCH(A94&amp;"-"&amp;B94,'④回収ファイル一覧'!$K$4:$K$11,0)),"")</f>
        <v/>
      </c>
      <c r="M94" s="18">
        <f t="array" ref="M94">IFERROR(INDEX('④回収ファイル一覧'!$J$4:$J$11,MATCH(A94&amp;"-"&amp;B94,'④回収ファイル一覧'!$K$4:$K$11,0)),"")</f>
        <v/>
      </c>
    </row>
    <row r="95" ht="14.25" customHeight="1" s="41"/>
    <row r="96" ht="14.25" customHeight="1" s="41"/>
    <row r="97" ht="14.25" customHeight="1" s="41"/>
    <row r="98" ht="14.25" customHeight="1" s="41"/>
    <row r="99" ht="14.25" customHeight="1" s="41"/>
    <row r="100" ht="14.25" customHeight="1" s="41"/>
    <row r="101" ht="14.25" customHeight="1" s="41"/>
    <row r="102" ht="14.25" customHeight="1" s="41"/>
    <row r="103" ht="14.25" customHeight="1" s="41"/>
    <row r="104" ht="14.25" customHeight="1" s="41"/>
    <row r="105" ht="14.25" customHeight="1" s="41"/>
    <row r="106" ht="14.25" customHeight="1" s="41"/>
    <row r="107" ht="14.25" customHeight="1" s="41"/>
    <row r="108" ht="14.25" customHeight="1" s="41"/>
    <row r="109" ht="14.25" customHeight="1" s="41"/>
    <row r="110" ht="14.25" customHeight="1" s="41"/>
    <row r="111" ht="14.25" customHeight="1" s="41"/>
    <row r="112" ht="14.25" customHeight="1" s="41"/>
    <row r="113" ht="14.25" customHeight="1" s="41"/>
    <row r="114" ht="14.25" customHeight="1" s="41"/>
    <row r="115" ht="14.25" customHeight="1" s="41"/>
    <row r="116" ht="14.25" customHeight="1" s="41"/>
    <row r="117" ht="14.25" customHeight="1" s="41"/>
    <row r="118" ht="14.25" customHeight="1" s="41"/>
    <row r="119" ht="14.25" customHeight="1" s="41"/>
    <row r="120" ht="14.25" customHeight="1" s="41"/>
    <row r="121" ht="14.25" customHeight="1" s="41"/>
    <row r="122" ht="14.25" customHeight="1" s="41"/>
    <row r="123" ht="14.25" customHeight="1" s="41"/>
    <row r="124" ht="14.25" customHeight="1" s="41"/>
    <row r="125" ht="14.25" customHeight="1" s="41"/>
    <row r="126" ht="14.25" customHeight="1" s="41"/>
    <row r="127" ht="14.25" customHeight="1" s="41"/>
    <row r="128" ht="14.25" customHeight="1" s="41"/>
    <row r="129" ht="14.25" customHeight="1" s="41"/>
    <row r="130" ht="14.25" customHeight="1" s="41"/>
    <row r="131" ht="14.25" customHeight="1" s="41"/>
    <row r="132" ht="14.25" customHeight="1" s="41"/>
    <row r="133" ht="14.25" customHeight="1" s="41"/>
    <row r="134" ht="14.25" customHeight="1" s="41"/>
    <row r="135" ht="14.25" customHeight="1" s="41"/>
    <row r="136" ht="14.25" customHeight="1" s="41"/>
    <row r="137" ht="14.25" customHeight="1" s="41"/>
    <row r="138" ht="14.25" customHeight="1" s="41"/>
    <row r="139" ht="14.25" customHeight="1" s="41"/>
    <row r="140" ht="14.25" customHeight="1" s="41"/>
    <row r="141" ht="14.25" customHeight="1" s="41"/>
    <row r="142" ht="14.25" customHeight="1" s="41"/>
    <row r="143" ht="14.25" customHeight="1" s="41"/>
    <row r="144" ht="14.25" customHeight="1" s="41"/>
    <row r="145" ht="14.25" customHeight="1" s="41"/>
    <row r="146" ht="14.25" customHeight="1" s="41"/>
    <row r="147" ht="14.25" customHeight="1" s="41"/>
    <row r="148" ht="14.25" customHeight="1" s="41"/>
    <row r="149" ht="14.25" customHeight="1" s="41"/>
    <row r="150" ht="14.25" customHeight="1" s="41"/>
    <row r="151" ht="14.25" customHeight="1" s="41"/>
    <row r="152" ht="14.25" customHeight="1" s="41"/>
    <row r="153" ht="14.25" customHeight="1" s="41"/>
    <row r="154" ht="14.25" customHeight="1" s="41"/>
    <row r="155" ht="14.25" customHeight="1" s="41"/>
    <row r="156" ht="14.25" customHeight="1" s="41"/>
    <row r="157" ht="14.25" customHeight="1" s="41"/>
    <row r="158" ht="14.25" customHeight="1" s="41"/>
    <row r="159" ht="14.25" customHeight="1" s="41"/>
    <row r="160" ht="14.25" customHeight="1" s="41"/>
    <row r="161" ht="14.25" customHeight="1" s="41"/>
    <row r="162" ht="14.25" customHeight="1" s="41"/>
    <row r="163" ht="14.25" customHeight="1" s="41"/>
    <row r="164" ht="14.25" customHeight="1" s="41"/>
    <row r="165" ht="14.25" customHeight="1" s="41"/>
    <row r="166" ht="14.25" customHeight="1" s="41"/>
    <row r="167" ht="14.25" customHeight="1" s="41"/>
    <row r="168" ht="14.25" customHeight="1" s="41"/>
    <row r="169" ht="14.25" customHeight="1" s="41"/>
    <row r="170" ht="14.25" customHeight="1" s="41"/>
    <row r="171" ht="14.25" customHeight="1" s="41"/>
    <row r="172" ht="14.25" customHeight="1" s="41"/>
    <row r="173" ht="14.25" customHeight="1" s="41"/>
    <row r="174" ht="14.25" customHeight="1" s="41"/>
    <row r="175" ht="14.25" customHeight="1" s="41"/>
    <row r="176" ht="14.25" customHeight="1" s="41"/>
    <row r="177" ht="14.25" customHeight="1" s="41"/>
    <row r="178" ht="14.25" customHeight="1" s="41"/>
    <row r="179" ht="14.25" customHeight="1" s="41"/>
    <row r="180" ht="14.25" customHeight="1" s="41"/>
    <row r="181" ht="14.25" customHeight="1" s="41"/>
    <row r="182" ht="14.25" customHeight="1" s="41"/>
    <row r="183" ht="14.25" customHeight="1" s="41"/>
    <row r="184" ht="14.25" customHeight="1" s="41"/>
    <row r="185" ht="14.25" customHeight="1" s="41"/>
    <row r="186" ht="14.25" customHeight="1" s="41"/>
    <row r="187" ht="14.25" customHeight="1" s="41"/>
    <row r="188" ht="14.25" customHeight="1" s="41"/>
    <row r="189" ht="14.25" customHeight="1" s="41"/>
    <row r="190" ht="14.25" customHeight="1" s="41"/>
    <row r="191" ht="14.25" customHeight="1" s="41"/>
    <row r="192" ht="14.25" customHeight="1" s="41"/>
    <row r="193" ht="14.25" customHeight="1" s="41"/>
    <row r="194" ht="14.25" customHeight="1" s="41"/>
    <row r="195" ht="14.25" customHeight="1" s="41"/>
    <row r="196" ht="14.25" customHeight="1" s="41"/>
    <row r="197" ht="14.25" customHeight="1" s="41"/>
    <row r="198" ht="14.25" customHeight="1" s="41"/>
    <row r="199" ht="14.25" customHeight="1" s="41"/>
    <row r="200" ht="14.25" customHeight="1" s="41"/>
    <row r="201" ht="14.25" customHeight="1" s="41"/>
    <row r="202" ht="14.25" customHeight="1" s="41"/>
    <row r="203" ht="14.25" customHeight="1" s="41"/>
    <row r="204" ht="14.25" customHeight="1" s="41"/>
    <row r="205" ht="14.25" customHeight="1" s="41"/>
    <row r="206" ht="14.25" customHeight="1" s="41"/>
    <row r="207" ht="14.25" customHeight="1" s="41"/>
    <row r="208" ht="14.25" customHeight="1" s="41"/>
    <row r="209" ht="14.25" customHeight="1" s="41"/>
    <row r="210" ht="14.25" customHeight="1" s="41"/>
    <row r="211" ht="14.25" customHeight="1" s="41"/>
    <row r="212" ht="14.25" customHeight="1" s="41"/>
    <row r="213" ht="14.25" customHeight="1" s="41"/>
    <row r="214" ht="14.25" customHeight="1" s="41"/>
    <row r="215" ht="14.25" customHeight="1" s="41"/>
    <row r="216" ht="14.25" customHeight="1" s="41"/>
    <row r="217" ht="14.25" customHeight="1" s="41"/>
    <row r="218" ht="14.25" customHeight="1" s="41"/>
    <row r="219" ht="14.25" customHeight="1" s="41"/>
    <row r="220" ht="14.25" customHeight="1" s="41"/>
    <row r="221" ht="14.25" customHeight="1" s="41"/>
    <row r="222" ht="14.25" customHeight="1" s="41"/>
    <row r="223" ht="14.25" customHeight="1" s="41"/>
    <row r="224" ht="14.25" customHeight="1" s="41"/>
    <row r="225" ht="14.25" customHeight="1" s="41"/>
    <row r="226" ht="14.25" customHeight="1" s="41"/>
    <row r="227" ht="14.25" customHeight="1" s="41"/>
    <row r="228" ht="14.25" customHeight="1" s="41"/>
    <row r="229" ht="14.25" customHeight="1" s="41"/>
    <row r="230" ht="14.25" customHeight="1" s="41"/>
    <row r="231" ht="14.25" customHeight="1" s="41"/>
    <row r="232" ht="14.25" customHeight="1" s="41"/>
    <row r="233" ht="14.25" customHeight="1" s="41"/>
    <row r="234" ht="14.25" customHeight="1" s="41"/>
    <row r="235" ht="14.25" customHeight="1" s="41"/>
    <row r="236" ht="14.25" customHeight="1" s="41"/>
    <row r="237" ht="14.25" customHeight="1" s="41"/>
    <row r="238" ht="14.25" customHeight="1" s="41"/>
    <row r="239" ht="14.25" customHeight="1" s="41"/>
    <row r="240" ht="14.25" customHeight="1" s="41"/>
    <row r="241" ht="14.25" customHeight="1" s="41"/>
    <row r="242" ht="14.25" customHeight="1" s="41"/>
    <row r="243" ht="14.25" customHeight="1" s="41"/>
    <row r="244" ht="14.25" customHeight="1" s="41"/>
    <row r="245" ht="14.25" customHeight="1" s="41"/>
    <row r="246" ht="14.25" customHeight="1" s="41"/>
    <row r="247" ht="14.25" customHeight="1" s="41"/>
    <row r="248" ht="14.25" customHeight="1" s="41"/>
    <row r="249" ht="14.25" customHeight="1" s="41"/>
    <row r="250" ht="14.25" customHeight="1" s="41"/>
    <row r="251" ht="14.25" customHeight="1" s="41"/>
    <row r="252" ht="14.25" customHeight="1" s="41"/>
    <row r="253" ht="14.25" customHeight="1" s="41"/>
    <row r="254" ht="14.25" customHeight="1" s="41"/>
    <row r="255" ht="14.25" customHeight="1" s="41"/>
    <row r="256" ht="14.25" customHeight="1" s="41"/>
    <row r="257" ht="14.25" customHeight="1" s="41"/>
    <row r="258" ht="14.25" customHeight="1" s="41"/>
    <row r="259" ht="14.25" customHeight="1" s="41"/>
    <row r="260" ht="14.25" customHeight="1" s="41"/>
    <row r="261" ht="14.25" customHeight="1" s="41"/>
    <row r="262" ht="14.25" customHeight="1" s="41"/>
    <row r="263" ht="14.25" customHeight="1" s="41"/>
    <row r="264" ht="14.25" customHeight="1" s="41"/>
    <row r="265" ht="14.25" customHeight="1" s="41"/>
    <row r="266" ht="14.25" customHeight="1" s="41"/>
    <row r="267" ht="14.25" customHeight="1" s="41"/>
    <row r="268" ht="14.25" customHeight="1" s="41"/>
    <row r="269" ht="14.25" customHeight="1" s="41"/>
    <row r="270" ht="14.25" customHeight="1" s="41"/>
    <row r="271" ht="14.25" customHeight="1" s="41"/>
    <row r="272" ht="14.25" customHeight="1" s="41"/>
    <row r="273" ht="14.25" customHeight="1" s="41"/>
    <row r="274" ht="14.25" customHeight="1" s="41"/>
    <row r="275" ht="14.25" customHeight="1" s="41"/>
    <row r="276" ht="14.25" customHeight="1" s="41"/>
    <row r="277" ht="14.25" customHeight="1" s="41"/>
    <row r="278" ht="14.25" customHeight="1" s="41"/>
    <row r="279" ht="14.25" customHeight="1" s="41"/>
    <row r="280" ht="14.25" customHeight="1" s="41"/>
    <row r="281" ht="14.25" customHeight="1" s="41"/>
    <row r="282" ht="14.25" customHeight="1" s="41"/>
    <row r="283" ht="14.25" customHeight="1" s="41"/>
    <row r="284" ht="14.25" customHeight="1" s="41"/>
    <row r="285" ht="14.25" customHeight="1" s="41"/>
    <row r="286" ht="14.25" customHeight="1" s="41"/>
    <row r="287" ht="14.25" customHeight="1" s="41"/>
    <row r="288" ht="14.25" customHeight="1" s="41"/>
    <row r="289" ht="14.25" customHeight="1" s="41"/>
    <row r="290" ht="14.25" customHeight="1" s="41"/>
    <row r="291" ht="14.25" customHeight="1" s="41"/>
    <row r="292" ht="14.25" customHeight="1" s="41"/>
    <row r="293" ht="14.25" customHeight="1" s="41"/>
    <row r="294" ht="14.25" customHeight="1" s="41"/>
    <row r="295" ht="14.25" customHeight="1" s="41"/>
    <row r="296" ht="14.25" customHeight="1" s="41"/>
    <row r="297" ht="14.25" customHeight="1" s="41"/>
    <row r="298" ht="14.25" customHeight="1" s="41"/>
    <row r="299" ht="14.25" customHeight="1" s="41"/>
    <row r="300" ht="14.25" customHeight="1" s="41"/>
    <row r="301" ht="14.25" customHeight="1" s="41"/>
    <row r="302" ht="14.25" customHeight="1" s="41"/>
    <row r="303" ht="14.25" customHeight="1" s="41"/>
    <row r="304" ht="14.25" customHeight="1" s="41"/>
    <row r="305" ht="14.25" customHeight="1" s="41"/>
    <row r="306" ht="14.25" customHeight="1" s="41"/>
    <row r="307" ht="14.25" customHeight="1" s="41"/>
    <row r="308" ht="14.25" customHeight="1" s="41"/>
    <row r="309" ht="14.25" customHeight="1" s="41"/>
    <row r="310" ht="14.25" customHeight="1" s="41"/>
    <row r="311" ht="14.25" customHeight="1" s="41"/>
    <row r="312" ht="14.25" customHeight="1" s="41"/>
    <row r="313" ht="14.25" customHeight="1" s="41"/>
    <row r="314" ht="14.25" customHeight="1" s="41"/>
    <row r="315" ht="14.25" customHeight="1" s="41"/>
    <row r="316" ht="14.25" customHeight="1" s="41"/>
    <row r="317" ht="14.25" customHeight="1" s="41"/>
    <row r="318" ht="14.25" customHeight="1" s="41"/>
    <row r="319" ht="14.25" customHeight="1" s="41"/>
    <row r="320" ht="14.25" customHeight="1" s="41"/>
    <row r="321" ht="14.25" customHeight="1" s="41"/>
    <row r="322" ht="14.25" customHeight="1" s="41"/>
    <row r="323" ht="14.25" customHeight="1" s="41"/>
    <row r="324" ht="14.25" customHeight="1" s="41"/>
    <row r="325" ht="14.25" customHeight="1" s="41"/>
    <row r="326" ht="14.25" customHeight="1" s="41"/>
    <row r="327" ht="14.25" customHeight="1" s="41"/>
    <row r="328" ht="14.25" customHeight="1" s="41"/>
    <row r="329" ht="14.25" customHeight="1" s="41"/>
    <row r="330" ht="14.25" customHeight="1" s="41"/>
    <row r="331" ht="14.25" customHeight="1" s="41"/>
    <row r="332" ht="14.25" customHeight="1" s="41"/>
    <row r="333" ht="14.25" customHeight="1" s="41"/>
    <row r="334" ht="14.25" customHeight="1" s="41"/>
    <row r="335" ht="14.25" customHeight="1" s="41"/>
    <row r="336" ht="14.25" customHeight="1" s="41"/>
    <row r="337" ht="14.25" customHeight="1" s="41"/>
    <row r="338" ht="14.25" customHeight="1" s="41"/>
    <row r="339" ht="14.25" customHeight="1" s="41"/>
    <row r="340" ht="14.25" customHeight="1" s="41"/>
    <row r="341" ht="14.25" customHeight="1" s="41"/>
    <row r="342" ht="14.25" customHeight="1" s="41"/>
    <row r="343" ht="14.25" customHeight="1" s="41"/>
    <row r="344" ht="14.25" customHeight="1" s="41"/>
    <row r="345" ht="14.25" customHeight="1" s="41"/>
    <row r="346" ht="14.25" customHeight="1" s="41"/>
    <row r="347" ht="14.25" customHeight="1" s="41"/>
    <row r="348" ht="14.25" customHeight="1" s="41"/>
    <row r="349" ht="14.25" customHeight="1" s="41"/>
    <row r="350" ht="14.25" customHeight="1" s="41"/>
    <row r="351" ht="14.25" customHeight="1" s="41"/>
    <row r="352" ht="14.25" customHeight="1" s="41"/>
    <row r="353" ht="14.25" customHeight="1" s="41"/>
    <row r="354" ht="14.25" customHeight="1" s="41"/>
    <row r="355" ht="14.25" customHeight="1" s="41"/>
    <row r="356" ht="14.25" customHeight="1" s="41"/>
    <row r="357" ht="14.25" customHeight="1" s="41"/>
    <row r="358" ht="14.25" customHeight="1" s="41"/>
    <row r="359" ht="14.25" customHeight="1" s="41"/>
    <row r="360" ht="14.25" customHeight="1" s="41"/>
    <row r="361" ht="14.25" customHeight="1" s="41"/>
    <row r="362" ht="14.25" customHeight="1" s="41"/>
    <row r="363" ht="14.25" customHeight="1" s="41"/>
    <row r="364" ht="14.25" customHeight="1" s="41"/>
    <row r="365" ht="14.25" customHeight="1" s="41"/>
    <row r="366" ht="14.25" customHeight="1" s="41"/>
    <row r="367" ht="14.25" customHeight="1" s="41"/>
    <row r="368" ht="14.25" customHeight="1" s="41"/>
    <row r="369" ht="14.25" customHeight="1" s="41"/>
    <row r="370" ht="14.25" customHeight="1" s="41"/>
    <row r="371" ht="14.25" customHeight="1" s="41"/>
    <row r="372" ht="14.25" customHeight="1" s="41"/>
    <row r="373" ht="14.25" customHeight="1" s="41"/>
    <row r="374" ht="14.25" customHeight="1" s="41"/>
    <row r="375" ht="14.25" customHeight="1" s="41"/>
    <row r="376" ht="14.25" customHeight="1" s="41"/>
    <row r="377" ht="14.25" customHeight="1" s="41"/>
    <row r="378" ht="14.25" customHeight="1" s="41"/>
    <row r="379" ht="14.25" customHeight="1" s="41"/>
    <row r="380" ht="14.25" customHeight="1" s="41"/>
    <row r="381" ht="14.25" customHeight="1" s="41"/>
    <row r="382" ht="14.25" customHeight="1" s="41"/>
    <row r="383" ht="14.25" customHeight="1" s="41"/>
    <row r="384" ht="14.25" customHeight="1" s="41"/>
    <row r="385" ht="14.25" customHeight="1" s="41"/>
    <row r="386" ht="14.25" customHeight="1" s="41"/>
    <row r="387" ht="14.25" customHeight="1" s="41"/>
    <row r="388" ht="14.25" customHeight="1" s="41"/>
    <row r="389" ht="14.25" customHeight="1" s="41"/>
    <row r="390" ht="14.25" customHeight="1" s="41"/>
    <row r="391" ht="14.25" customHeight="1" s="41"/>
    <row r="392" ht="14.25" customHeight="1" s="41"/>
    <row r="393" ht="14.25" customHeight="1" s="41"/>
    <row r="394" ht="14.25" customHeight="1" s="41"/>
    <row r="395" ht="14.25" customHeight="1" s="41"/>
    <row r="396" ht="14.25" customHeight="1" s="41"/>
    <row r="397" ht="14.25" customHeight="1" s="41"/>
    <row r="398" ht="14.25" customHeight="1" s="41"/>
    <row r="399" ht="14.25" customHeight="1" s="41"/>
    <row r="400" ht="14.25" customHeight="1" s="41"/>
    <row r="401" ht="14.25" customHeight="1" s="41"/>
    <row r="402" ht="14.25" customHeight="1" s="41"/>
    <row r="403" ht="14.25" customHeight="1" s="41"/>
    <row r="404" ht="14.25" customHeight="1" s="41"/>
    <row r="405" ht="14.25" customHeight="1" s="41"/>
    <row r="406" ht="14.25" customHeight="1" s="41"/>
    <row r="407" ht="14.25" customHeight="1" s="41"/>
    <row r="408" ht="14.25" customHeight="1" s="41"/>
    <row r="409" ht="14.25" customHeight="1" s="41"/>
    <row r="410" ht="14.25" customHeight="1" s="41"/>
    <row r="411" ht="14.25" customHeight="1" s="41"/>
    <row r="412" ht="14.25" customHeight="1" s="41"/>
    <row r="413" ht="14.25" customHeight="1" s="41"/>
    <row r="414" ht="14.25" customHeight="1" s="41"/>
    <row r="415" ht="14.25" customHeight="1" s="41"/>
    <row r="416" ht="14.25" customHeight="1" s="41"/>
    <row r="417" ht="14.25" customHeight="1" s="41"/>
    <row r="418" ht="14.25" customHeight="1" s="41"/>
    <row r="419" ht="14.25" customHeight="1" s="41"/>
    <row r="420" ht="14.25" customHeight="1" s="41"/>
    <row r="421" ht="14.25" customHeight="1" s="41"/>
    <row r="422" ht="14.25" customHeight="1" s="41"/>
    <row r="423" ht="14.25" customHeight="1" s="41"/>
    <row r="424" ht="14.25" customHeight="1" s="41"/>
    <row r="425" ht="14.25" customHeight="1" s="41"/>
    <row r="426" ht="14.25" customHeight="1" s="41"/>
    <row r="427" ht="14.25" customHeight="1" s="41"/>
    <row r="428" ht="14.25" customHeight="1" s="41"/>
    <row r="429" ht="14.25" customHeight="1" s="41"/>
    <row r="430" ht="14.25" customHeight="1" s="41"/>
    <row r="431" ht="14.25" customHeight="1" s="41"/>
    <row r="432" ht="14.25" customHeight="1" s="41"/>
    <row r="433" ht="14.25" customHeight="1" s="41"/>
    <row r="434" ht="14.25" customHeight="1" s="41"/>
    <row r="435" ht="14.25" customHeight="1" s="41"/>
    <row r="436" ht="14.25" customHeight="1" s="41"/>
    <row r="437" ht="14.25" customHeight="1" s="41"/>
    <row r="438" ht="14.25" customHeight="1" s="41"/>
    <row r="439" ht="14.25" customHeight="1" s="41"/>
    <row r="440" ht="14.25" customHeight="1" s="41"/>
    <row r="441" ht="14.25" customHeight="1" s="41"/>
    <row r="442" ht="14.25" customHeight="1" s="41"/>
    <row r="443" ht="14.25" customHeight="1" s="41"/>
    <row r="444" ht="14.25" customHeight="1" s="41"/>
    <row r="445" ht="14.25" customHeight="1" s="41"/>
    <row r="446" ht="14.25" customHeight="1" s="41"/>
    <row r="447" ht="14.25" customHeight="1" s="41"/>
    <row r="448" ht="14.25" customHeight="1" s="41"/>
    <row r="449" ht="14.25" customHeight="1" s="41"/>
    <row r="450" ht="14.25" customHeight="1" s="41"/>
    <row r="451" ht="14.25" customHeight="1" s="41"/>
    <row r="452" ht="14.25" customHeight="1" s="41"/>
    <row r="453" ht="14.25" customHeight="1" s="41"/>
    <row r="454" ht="14.25" customHeight="1" s="41"/>
    <row r="455" ht="14.25" customHeight="1" s="41"/>
    <row r="456" ht="14.25" customHeight="1" s="41"/>
    <row r="457" ht="14.25" customHeight="1" s="41"/>
    <row r="458" ht="14.25" customHeight="1" s="41"/>
    <row r="459" ht="14.25" customHeight="1" s="41"/>
    <row r="460" ht="14.25" customHeight="1" s="41"/>
    <row r="461" ht="14.25" customHeight="1" s="41"/>
    <row r="462" ht="14.25" customHeight="1" s="41"/>
    <row r="463" ht="14.25" customHeight="1" s="41"/>
    <row r="464" ht="14.25" customHeight="1" s="41"/>
    <row r="465" ht="14.25" customHeight="1" s="41"/>
    <row r="466" ht="14.25" customHeight="1" s="41"/>
    <row r="467" ht="14.25" customHeight="1" s="41"/>
    <row r="468" ht="14.25" customHeight="1" s="41"/>
    <row r="469" ht="14.25" customHeight="1" s="41"/>
    <row r="470" ht="14.25" customHeight="1" s="41"/>
    <row r="471" ht="14.25" customHeight="1" s="41"/>
    <row r="472" ht="14.25" customHeight="1" s="41"/>
    <row r="473" ht="14.25" customHeight="1" s="41"/>
    <row r="474" ht="14.25" customHeight="1" s="41"/>
    <row r="475" ht="14.25" customHeight="1" s="41"/>
    <row r="476" ht="14.25" customHeight="1" s="41"/>
    <row r="477" ht="14.25" customHeight="1" s="41"/>
    <row r="478" ht="14.25" customHeight="1" s="41"/>
    <row r="479" ht="14.25" customHeight="1" s="41"/>
    <row r="480" ht="14.25" customHeight="1" s="41"/>
    <row r="481" ht="14.25" customHeight="1" s="41"/>
    <row r="482" ht="14.25" customHeight="1" s="41"/>
    <row r="483" ht="14.25" customHeight="1" s="41"/>
    <row r="484" ht="14.25" customHeight="1" s="41"/>
    <row r="485" ht="14.25" customHeight="1" s="41"/>
    <row r="486" ht="14.25" customHeight="1" s="41"/>
    <row r="487" ht="14.25" customHeight="1" s="41"/>
    <row r="488" ht="14.25" customHeight="1" s="41"/>
    <row r="489" ht="14.25" customHeight="1" s="41"/>
    <row r="490" ht="14.25" customHeight="1" s="41"/>
    <row r="491" ht="14.25" customHeight="1" s="41"/>
    <row r="492" ht="14.25" customHeight="1" s="41"/>
    <row r="493" ht="14.25" customHeight="1" s="41"/>
    <row r="494" ht="14.25" customHeight="1" s="41"/>
    <row r="495" ht="14.25" customHeight="1" s="41"/>
    <row r="496" ht="14.25" customHeight="1" s="41"/>
    <row r="497" ht="14.25" customHeight="1" s="41"/>
    <row r="498" ht="14.25" customHeight="1" s="41"/>
    <row r="499" ht="14.25" customHeight="1" s="41"/>
    <row r="500" ht="14.25" customHeight="1" s="41"/>
    <row r="501" ht="14.25" customHeight="1" s="41"/>
    <row r="502" ht="14.25" customHeight="1" s="41"/>
    <row r="503" ht="14.25" customHeight="1" s="41"/>
    <row r="504" ht="14.25" customHeight="1" s="41"/>
    <row r="505" ht="14.25" customHeight="1" s="41"/>
    <row r="506" ht="14.25" customHeight="1" s="41"/>
    <row r="507" ht="14.25" customHeight="1" s="41"/>
    <row r="508" ht="14.25" customHeight="1" s="41"/>
    <row r="509" ht="14.25" customHeight="1" s="41"/>
    <row r="510" ht="14.25" customHeight="1" s="41"/>
    <row r="511" ht="14.25" customHeight="1" s="41"/>
    <row r="512" ht="14.25" customHeight="1" s="41"/>
    <row r="513" ht="14.25" customHeight="1" s="41"/>
    <row r="514" ht="14.25" customHeight="1" s="41"/>
    <row r="515" ht="14.25" customHeight="1" s="41"/>
    <row r="516" ht="14.25" customHeight="1" s="41"/>
    <row r="517" ht="14.25" customHeight="1" s="41"/>
    <row r="518" ht="14.25" customHeight="1" s="41"/>
    <row r="519" ht="14.25" customHeight="1" s="41"/>
    <row r="520" ht="14.25" customHeight="1" s="41"/>
    <row r="521" ht="14.25" customHeight="1" s="41"/>
    <row r="522" ht="14.25" customHeight="1" s="41"/>
    <row r="523" ht="14.25" customHeight="1" s="41"/>
    <row r="524" ht="14.25" customHeight="1" s="41"/>
    <row r="525" ht="14.25" customHeight="1" s="41"/>
    <row r="526" ht="14.25" customHeight="1" s="41"/>
    <row r="527" ht="14.25" customHeight="1" s="41"/>
    <row r="528" ht="14.25" customHeight="1" s="41"/>
    <row r="529" ht="14.25" customHeight="1" s="41"/>
    <row r="530" ht="14.25" customHeight="1" s="41"/>
    <row r="531" ht="14.25" customHeight="1" s="41"/>
    <row r="532" ht="14.25" customHeight="1" s="41"/>
    <row r="533" ht="14.25" customHeight="1" s="41"/>
    <row r="534" ht="14.25" customHeight="1" s="41"/>
    <row r="535" ht="14.25" customHeight="1" s="41"/>
    <row r="536" ht="14.25" customHeight="1" s="41"/>
    <row r="537" ht="14.25" customHeight="1" s="41"/>
    <row r="538" ht="14.25" customHeight="1" s="41"/>
    <row r="539" ht="14.25" customHeight="1" s="41"/>
    <row r="540" ht="14.25" customHeight="1" s="41"/>
    <row r="541" ht="14.25" customHeight="1" s="41"/>
    <row r="542" ht="14.25" customHeight="1" s="41"/>
    <row r="543" ht="14.25" customHeight="1" s="41"/>
    <row r="544" ht="14.25" customHeight="1" s="41"/>
    <row r="545" ht="14.25" customHeight="1" s="41"/>
    <row r="546" ht="14.25" customHeight="1" s="41"/>
    <row r="547" ht="14.25" customHeight="1" s="41"/>
    <row r="548" ht="14.25" customHeight="1" s="41"/>
    <row r="549" ht="14.25" customHeight="1" s="41"/>
    <row r="550" ht="14.25" customHeight="1" s="41"/>
    <row r="551" ht="14.25" customHeight="1" s="41"/>
    <row r="552" ht="14.25" customHeight="1" s="41"/>
    <row r="553" ht="14.25" customHeight="1" s="41"/>
    <row r="554" ht="14.25" customHeight="1" s="41"/>
    <row r="555" ht="14.25" customHeight="1" s="41"/>
    <row r="556" ht="14.25" customHeight="1" s="41"/>
    <row r="557" ht="14.25" customHeight="1" s="41"/>
    <row r="558" ht="14.25" customHeight="1" s="41"/>
    <row r="559" ht="14.25" customHeight="1" s="41"/>
    <row r="560" ht="14.25" customHeight="1" s="41"/>
    <row r="561" ht="14.25" customHeight="1" s="41"/>
    <row r="562" ht="14.25" customHeight="1" s="41"/>
    <row r="563" ht="14.25" customHeight="1" s="41"/>
    <row r="564" ht="14.25" customHeight="1" s="41"/>
    <row r="565" ht="14.25" customHeight="1" s="41"/>
    <row r="566" ht="14.25" customHeight="1" s="41"/>
    <row r="567" ht="14.25" customHeight="1" s="41"/>
    <row r="568" ht="14.25" customHeight="1" s="41"/>
    <row r="569" ht="14.25" customHeight="1" s="41"/>
    <row r="570" ht="14.25" customHeight="1" s="41"/>
    <row r="571" ht="14.25" customHeight="1" s="41"/>
    <row r="572" ht="14.25" customHeight="1" s="41"/>
    <row r="573" ht="14.25" customHeight="1" s="41"/>
    <row r="574" ht="14.25" customHeight="1" s="41"/>
    <row r="575" ht="14.25" customHeight="1" s="41"/>
    <row r="576" ht="14.25" customHeight="1" s="41"/>
    <row r="577" ht="14.25" customHeight="1" s="41"/>
    <row r="578" ht="14.25" customHeight="1" s="41"/>
    <row r="579" ht="14.25" customHeight="1" s="41"/>
    <row r="580" ht="14.25" customHeight="1" s="41"/>
    <row r="581" ht="14.25" customHeight="1" s="41"/>
    <row r="582" ht="14.25" customHeight="1" s="41"/>
    <row r="583" ht="14.25" customHeight="1" s="41"/>
    <row r="584" ht="14.25" customHeight="1" s="41"/>
    <row r="585" ht="14.25" customHeight="1" s="41"/>
    <row r="586" ht="14.25" customHeight="1" s="41"/>
    <row r="587" ht="14.25" customHeight="1" s="41"/>
    <row r="588" ht="14.25" customHeight="1" s="41"/>
    <row r="589" ht="14.25" customHeight="1" s="41"/>
    <row r="590" ht="14.25" customHeight="1" s="41"/>
    <row r="591" ht="14.25" customHeight="1" s="41"/>
    <row r="592" ht="14.25" customHeight="1" s="41"/>
    <row r="593" ht="14.25" customHeight="1" s="41"/>
    <row r="594" ht="14.25" customHeight="1" s="41"/>
    <row r="595" ht="14.25" customHeight="1" s="41"/>
    <row r="596" ht="14.25" customHeight="1" s="41"/>
    <row r="597" ht="14.25" customHeight="1" s="41"/>
    <row r="598" ht="14.25" customHeight="1" s="41"/>
    <row r="599" ht="14.25" customHeight="1" s="41"/>
    <row r="600" ht="14.25" customHeight="1" s="41"/>
    <row r="601" ht="14.25" customHeight="1" s="41"/>
    <row r="602" ht="14.25" customHeight="1" s="41"/>
    <row r="603" ht="14.25" customHeight="1" s="41"/>
    <row r="604" ht="14.25" customHeight="1" s="41"/>
    <row r="605" ht="14.25" customHeight="1" s="41"/>
    <row r="606" ht="14.25" customHeight="1" s="41"/>
    <row r="607" ht="14.25" customHeight="1" s="41"/>
    <row r="608" ht="14.25" customHeight="1" s="41"/>
    <row r="609" ht="14.25" customHeight="1" s="41"/>
    <row r="610" ht="14.25" customHeight="1" s="41"/>
    <row r="611" ht="14.25" customHeight="1" s="41"/>
    <row r="612" ht="14.25" customHeight="1" s="41"/>
    <row r="613" ht="14.25" customHeight="1" s="41"/>
    <row r="614" ht="14.25" customHeight="1" s="41"/>
    <row r="615" ht="14.25" customHeight="1" s="41"/>
    <row r="616" ht="14.25" customHeight="1" s="41"/>
    <row r="617" ht="14.25" customHeight="1" s="41"/>
    <row r="618" ht="14.25" customHeight="1" s="41"/>
    <row r="619" ht="14.25" customHeight="1" s="41"/>
    <row r="620" ht="14.25" customHeight="1" s="41"/>
    <row r="621" ht="14.25" customHeight="1" s="41"/>
    <row r="622" ht="14.25" customHeight="1" s="41"/>
    <row r="623" ht="14.25" customHeight="1" s="41"/>
    <row r="624" ht="14.25" customHeight="1" s="41"/>
    <row r="625" ht="14.25" customHeight="1" s="41"/>
    <row r="626" ht="14.25" customHeight="1" s="41"/>
    <row r="627" ht="14.25" customHeight="1" s="41"/>
    <row r="628" ht="14.25" customHeight="1" s="41"/>
    <row r="629" ht="14.25" customHeight="1" s="41"/>
    <row r="630" ht="14.25" customHeight="1" s="41"/>
    <row r="631" ht="14.25" customHeight="1" s="41"/>
    <row r="632" ht="14.25" customHeight="1" s="41"/>
    <row r="633" ht="14.25" customHeight="1" s="41"/>
    <row r="634" ht="14.25" customHeight="1" s="41"/>
    <row r="635" ht="14.25" customHeight="1" s="41"/>
    <row r="636" ht="14.25" customHeight="1" s="41"/>
    <row r="637" ht="14.25" customHeight="1" s="41"/>
    <row r="638" ht="14.25" customHeight="1" s="41"/>
    <row r="639" ht="14.25" customHeight="1" s="41"/>
    <row r="640" ht="14.25" customHeight="1" s="41"/>
    <row r="641" ht="14.25" customHeight="1" s="41"/>
    <row r="642" ht="14.25" customHeight="1" s="41"/>
    <row r="643" ht="14.25" customHeight="1" s="41"/>
    <row r="644" ht="14.25" customHeight="1" s="41"/>
    <row r="645" ht="14.25" customHeight="1" s="41"/>
    <row r="646" ht="14.25" customHeight="1" s="41"/>
    <row r="647" ht="14.25" customHeight="1" s="41"/>
    <row r="648" ht="14.25" customHeight="1" s="41"/>
    <row r="649" ht="14.25" customHeight="1" s="41"/>
    <row r="650" ht="14.25" customHeight="1" s="41"/>
    <row r="651" ht="14.25" customHeight="1" s="41"/>
    <row r="652" ht="14.25" customHeight="1" s="41"/>
    <row r="653" ht="14.25" customHeight="1" s="41"/>
    <row r="654" ht="14.25" customHeight="1" s="41"/>
    <row r="655" ht="14.25" customHeight="1" s="41"/>
    <row r="656" ht="14.25" customHeight="1" s="41"/>
    <row r="657" ht="14.25" customHeight="1" s="41"/>
    <row r="658" ht="14.25" customHeight="1" s="41"/>
    <row r="659" ht="14.25" customHeight="1" s="41"/>
    <row r="660" ht="14.25" customHeight="1" s="41"/>
    <row r="661" ht="14.25" customHeight="1" s="41"/>
    <row r="662" ht="14.25" customHeight="1" s="41"/>
    <row r="663" ht="14.25" customHeight="1" s="41"/>
    <row r="664" ht="14.25" customHeight="1" s="41"/>
    <row r="665" ht="14.25" customHeight="1" s="41"/>
    <row r="666" ht="14.25" customHeight="1" s="41"/>
    <row r="667" ht="14.25" customHeight="1" s="41"/>
    <row r="668" ht="14.25" customHeight="1" s="41"/>
    <row r="669" ht="14.25" customHeight="1" s="41"/>
    <row r="670" ht="14.25" customHeight="1" s="41"/>
    <row r="671" ht="14.25" customHeight="1" s="41"/>
    <row r="672" ht="14.25" customHeight="1" s="41"/>
    <row r="673" ht="14.25" customHeight="1" s="41"/>
    <row r="674" ht="14.25" customHeight="1" s="41"/>
    <row r="675" ht="14.25" customHeight="1" s="41"/>
    <row r="676" ht="14.25" customHeight="1" s="41"/>
    <row r="677" ht="14.25" customHeight="1" s="41"/>
    <row r="678" ht="14.25" customHeight="1" s="41"/>
    <row r="679" ht="14.25" customHeight="1" s="41"/>
    <row r="680" ht="14.25" customHeight="1" s="41"/>
    <row r="681" ht="14.25" customHeight="1" s="41"/>
    <row r="682" ht="14.25" customHeight="1" s="41"/>
    <row r="683" ht="14.25" customHeight="1" s="41"/>
    <row r="684" ht="14.25" customHeight="1" s="41"/>
    <row r="685" ht="14.25" customHeight="1" s="41"/>
    <row r="686" ht="14.25" customHeight="1" s="41"/>
    <row r="687" ht="14.25" customHeight="1" s="41"/>
    <row r="688" ht="14.25" customHeight="1" s="41"/>
    <row r="689" ht="14.25" customHeight="1" s="41"/>
    <row r="690" ht="14.25" customHeight="1" s="41"/>
    <row r="691" ht="14.25" customHeight="1" s="41"/>
    <row r="692" ht="14.25" customHeight="1" s="41"/>
    <row r="693" ht="14.25" customHeight="1" s="41"/>
    <row r="694" ht="14.25" customHeight="1" s="41"/>
    <row r="695" ht="14.25" customHeight="1" s="41"/>
    <row r="696" ht="14.25" customHeight="1" s="41"/>
    <row r="697" ht="14.25" customHeight="1" s="41"/>
    <row r="698" ht="14.25" customHeight="1" s="41"/>
    <row r="699" ht="14.25" customHeight="1" s="41"/>
    <row r="700" ht="14.25" customHeight="1" s="41"/>
    <row r="701" ht="14.25" customHeight="1" s="41"/>
    <row r="702" ht="14.25" customHeight="1" s="41"/>
    <row r="703" ht="14.25" customHeight="1" s="41"/>
    <row r="704" ht="14.25" customHeight="1" s="41"/>
    <row r="705" ht="14.25" customHeight="1" s="41"/>
    <row r="706" ht="14.25" customHeight="1" s="41"/>
    <row r="707" ht="14.25" customHeight="1" s="41"/>
    <row r="708" ht="14.25" customHeight="1" s="41"/>
    <row r="709" ht="14.25" customHeight="1" s="41"/>
    <row r="710" ht="14.25" customHeight="1" s="41"/>
    <row r="711" ht="14.25" customHeight="1" s="41"/>
    <row r="712" ht="14.25" customHeight="1" s="41"/>
    <row r="713" ht="14.25" customHeight="1" s="41"/>
    <row r="714" ht="14.25" customHeight="1" s="41"/>
    <row r="715" ht="14.25" customHeight="1" s="41"/>
    <row r="716" ht="14.25" customHeight="1" s="41"/>
    <row r="717" ht="14.25" customHeight="1" s="41"/>
    <row r="718" ht="14.25" customHeight="1" s="41"/>
    <row r="719" ht="14.25" customHeight="1" s="41"/>
    <row r="720" ht="14.25" customHeight="1" s="41"/>
    <row r="721" ht="14.25" customHeight="1" s="41"/>
    <row r="722" ht="14.25" customHeight="1" s="41"/>
    <row r="723" ht="14.25" customHeight="1" s="41"/>
    <row r="724" ht="14.25" customHeight="1" s="41"/>
    <row r="725" ht="14.25" customHeight="1" s="41"/>
    <row r="726" ht="14.25" customHeight="1" s="41"/>
    <row r="727" ht="14.25" customHeight="1" s="41"/>
    <row r="728" ht="14.25" customHeight="1" s="41"/>
    <row r="729" ht="14.25" customHeight="1" s="41"/>
    <row r="730" ht="14.25" customHeight="1" s="41"/>
    <row r="731" ht="14.25" customHeight="1" s="41"/>
    <row r="732" ht="14.25" customHeight="1" s="41"/>
    <row r="733" ht="14.25" customHeight="1" s="41"/>
    <row r="734" ht="14.25" customHeight="1" s="41"/>
    <row r="735" ht="14.25" customHeight="1" s="41"/>
    <row r="736" ht="14.25" customHeight="1" s="41"/>
    <row r="737" ht="14.25" customHeight="1" s="41"/>
    <row r="738" ht="14.25" customHeight="1" s="41"/>
    <row r="739" ht="14.25" customHeight="1" s="41"/>
    <row r="740" ht="14.25" customHeight="1" s="41"/>
    <row r="741" ht="14.25" customHeight="1" s="41"/>
    <row r="742" ht="14.25" customHeight="1" s="41"/>
    <row r="743" ht="14.25" customHeight="1" s="41"/>
    <row r="744" ht="14.25" customHeight="1" s="41"/>
    <row r="745" ht="14.25" customHeight="1" s="41"/>
    <row r="746" ht="14.25" customHeight="1" s="41"/>
    <row r="747" ht="14.25" customHeight="1" s="41"/>
    <row r="748" ht="14.25" customHeight="1" s="41"/>
    <row r="749" ht="14.25" customHeight="1" s="41"/>
    <row r="750" ht="14.25" customHeight="1" s="41"/>
    <row r="751" ht="14.25" customHeight="1" s="41"/>
    <row r="752" ht="14.25" customHeight="1" s="41"/>
    <row r="753" ht="14.25" customHeight="1" s="41"/>
    <row r="754" ht="14.25" customHeight="1" s="41"/>
    <row r="755" ht="14.25" customHeight="1" s="41"/>
    <row r="756" ht="14.25" customHeight="1" s="41"/>
    <row r="757" ht="14.25" customHeight="1" s="41"/>
    <row r="758" ht="14.25" customHeight="1" s="41"/>
    <row r="759" ht="14.25" customHeight="1" s="41"/>
    <row r="760" ht="14.25" customHeight="1" s="41"/>
    <row r="761" ht="14.25" customHeight="1" s="41"/>
    <row r="762" ht="14.25" customHeight="1" s="41"/>
    <row r="763" ht="14.25" customHeight="1" s="41"/>
    <row r="764" ht="14.25" customHeight="1" s="41"/>
    <row r="765" ht="14.25" customHeight="1" s="41"/>
    <row r="766" ht="14.25" customHeight="1" s="41"/>
    <row r="767" ht="14.25" customHeight="1" s="41"/>
    <row r="768" ht="14.25" customHeight="1" s="41"/>
    <row r="769" ht="14.25" customHeight="1" s="41"/>
    <row r="770" ht="14.25" customHeight="1" s="41"/>
    <row r="771" ht="14.25" customHeight="1" s="41"/>
    <row r="772" ht="14.25" customHeight="1" s="41"/>
    <row r="773" ht="14.25" customHeight="1" s="41"/>
    <row r="774" ht="14.25" customHeight="1" s="41"/>
    <row r="775" ht="14.25" customHeight="1" s="41"/>
    <row r="776" ht="14.25" customHeight="1" s="41"/>
    <row r="777" ht="14.25" customHeight="1" s="41"/>
    <row r="778" ht="14.25" customHeight="1" s="41"/>
    <row r="779" ht="14.25" customHeight="1" s="41"/>
    <row r="780" ht="14.25" customHeight="1" s="41"/>
    <row r="781" ht="14.25" customHeight="1" s="41"/>
    <row r="782" ht="14.25" customHeight="1" s="41"/>
    <row r="783" ht="14.25" customHeight="1" s="41"/>
    <row r="784" ht="14.25" customHeight="1" s="41"/>
    <row r="785" ht="14.25" customHeight="1" s="41"/>
    <row r="786" ht="14.25" customHeight="1" s="41"/>
    <row r="787" ht="14.25" customHeight="1" s="41"/>
    <row r="788" ht="14.25" customHeight="1" s="41"/>
    <row r="789" ht="14.25" customHeight="1" s="41"/>
    <row r="790" ht="14.25" customHeight="1" s="41"/>
    <row r="791" ht="14.25" customHeight="1" s="41"/>
    <row r="792" ht="14.25" customHeight="1" s="41"/>
    <row r="793" ht="14.25" customHeight="1" s="41"/>
    <row r="794" ht="14.25" customHeight="1" s="41"/>
    <row r="795" ht="14.25" customHeight="1" s="41"/>
    <row r="796" ht="14.25" customHeight="1" s="41"/>
    <row r="797" ht="14.25" customHeight="1" s="41"/>
    <row r="798" ht="14.25" customHeight="1" s="41"/>
    <row r="799" ht="14.25" customHeight="1" s="41"/>
    <row r="800" ht="14.25" customHeight="1" s="41"/>
    <row r="801" ht="14.25" customHeight="1" s="41"/>
    <row r="802" ht="14.25" customHeight="1" s="41"/>
    <row r="803" ht="14.25" customHeight="1" s="41"/>
    <row r="804" ht="14.25" customHeight="1" s="41"/>
    <row r="805" ht="14.25" customHeight="1" s="41"/>
    <row r="806" ht="14.25" customHeight="1" s="41"/>
    <row r="807" ht="14.25" customHeight="1" s="41"/>
    <row r="808" ht="14.25" customHeight="1" s="41"/>
    <row r="809" ht="14.25" customHeight="1" s="41"/>
    <row r="810" ht="14.25" customHeight="1" s="41"/>
    <row r="811" ht="14.25" customHeight="1" s="41"/>
    <row r="812" ht="14.25" customHeight="1" s="41"/>
    <row r="813" ht="14.25" customHeight="1" s="41"/>
    <row r="814" ht="14.25" customHeight="1" s="41"/>
    <row r="815" ht="14.25" customHeight="1" s="41"/>
    <row r="816" ht="14.25" customHeight="1" s="41"/>
    <row r="817" ht="14.25" customHeight="1" s="41"/>
    <row r="818" ht="14.25" customHeight="1" s="41"/>
    <row r="819" ht="14.25" customHeight="1" s="41"/>
    <row r="820" ht="14.25" customHeight="1" s="41"/>
    <row r="821" ht="14.25" customHeight="1" s="41"/>
    <row r="822" ht="14.25" customHeight="1" s="41"/>
    <row r="823" ht="14.25" customHeight="1" s="41"/>
    <row r="824" ht="14.25" customHeight="1" s="41"/>
    <row r="825" ht="14.25" customHeight="1" s="41"/>
    <row r="826" ht="14.25" customHeight="1" s="41"/>
    <row r="827" ht="14.25" customHeight="1" s="41"/>
    <row r="828" ht="14.25" customHeight="1" s="41"/>
    <row r="829" ht="14.25" customHeight="1" s="41"/>
    <row r="830" ht="14.25" customHeight="1" s="41"/>
    <row r="831" ht="14.25" customHeight="1" s="41"/>
    <row r="832" ht="14.25" customHeight="1" s="41"/>
    <row r="833" ht="14.25" customHeight="1" s="41"/>
    <row r="834" ht="14.25" customHeight="1" s="41"/>
    <row r="835" ht="14.25" customHeight="1" s="41"/>
    <row r="836" ht="14.25" customHeight="1" s="41"/>
    <row r="837" ht="14.25" customHeight="1" s="41"/>
    <row r="838" ht="14.25" customHeight="1" s="41"/>
    <row r="839" ht="14.25" customHeight="1" s="41"/>
    <row r="840" ht="14.25" customHeight="1" s="41"/>
    <row r="841" ht="14.25" customHeight="1" s="41"/>
    <row r="842" ht="14.25" customHeight="1" s="41"/>
    <row r="843" ht="14.25" customHeight="1" s="41"/>
    <row r="844" ht="14.25" customHeight="1" s="41"/>
    <row r="845" ht="14.25" customHeight="1" s="41"/>
    <row r="846" ht="14.25" customHeight="1" s="41"/>
    <row r="847" ht="14.25" customHeight="1" s="41"/>
    <row r="848" ht="14.25" customHeight="1" s="41"/>
    <row r="849" ht="14.25" customHeight="1" s="41"/>
    <row r="850" ht="14.25" customHeight="1" s="41"/>
    <row r="851" ht="14.25" customHeight="1" s="41"/>
    <row r="852" ht="14.25" customHeight="1" s="41"/>
    <row r="853" ht="14.25" customHeight="1" s="41"/>
    <row r="854" ht="14.25" customHeight="1" s="41"/>
    <row r="855" ht="14.25" customHeight="1" s="41"/>
    <row r="856" ht="14.25" customHeight="1" s="41"/>
    <row r="857" ht="14.25" customHeight="1" s="41"/>
    <row r="858" ht="14.25" customHeight="1" s="41"/>
    <row r="859" ht="14.25" customHeight="1" s="41"/>
    <row r="860" ht="14.25" customHeight="1" s="41"/>
    <row r="861" ht="14.25" customHeight="1" s="41"/>
    <row r="862" ht="14.25" customHeight="1" s="41"/>
    <row r="863" ht="14.25" customHeight="1" s="41"/>
    <row r="864" ht="14.25" customHeight="1" s="41"/>
    <row r="865" ht="14.25" customHeight="1" s="41"/>
    <row r="866" ht="14.25" customHeight="1" s="41"/>
    <row r="867" ht="14.25" customHeight="1" s="41"/>
    <row r="868" ht="14.25" customHeight="1" s="41"/>
    <row r="869" ht="14.25" customHeight="1" s="41"/>
    <row r="870" ht="14.25" customHeight="1" s="41"/>
    <row r="871" ht="14.25" customHeight="1" s="41"/>
    <row r="872" ht="14.25" customHeight="1" s="41"/>
    <row r="873" ht="14.25" customHeight="1" s="41"/>
    <row r="874" ht="14.25" customHeight="1" s="41"/>
    <row r="875" ht="14.25" customHeight="1" s="41"/>
    <row r="876" ht="14.25" customHeight="1" s="41"/>
    <row r="877" ht="14.25" customHeight="1" s="41"/>
    <row r="878" ht="14.25" customHeight="1" s="41"/>
    <row r="879" ht="14.25" customHeight="1" s="41"/>
    <row r="880" ht="14.25" customHeight="1" s="41"/>
    <row r="881" ht="14.25" customHeight="1" s="41"/>
    <row r="882" ht="14.25" customHeight="1" s="41"/>
    <row r="883" ht="14.25" customHeight="1" s="41"/>
    <row r="884" ht="14.25" customHeight="1" s="41"/>
    <row r="885" ht="14.25" customHeight="1" s="41"/>
    <row r="886" ht="14.25" customHeight="1" s="41"/>
    <row r="887" ht="14.25" customHeight="1" s="41"/>
    <row r="888" ht="14.25" customHeight="1" s="41"/>
    <row r="889" ht="14.25" customHeight="1" s="41"/>
    <row r="890" ht="14.25" customHeight="1" s="41"/>
    <row r="891" ht="14.25" customHeight="1" s="41"/>
    <row r="892" ht="14.25" customHeight="1" s="41"/>
    <row r="893" ht="14.25" customHeight="1" s="41"/>
    <row r="894" ht="14.25" customHeight="1" s="41"/>
    <row r="895" ht="14.25" customHeight="1" s="41"/>
    <row r="896" ht="14.25" customHeight="1" s="41"/>
    <row r="897" ht="14.25" customHeight="1" s="41"/>
    <row r="898" ht="14.25" customHeight="1" s="41"/>
    <row r="899" ht="14.25" customHeight="1" s="41"/>
    <row r="900" ht="14.25" customHeight="1" s="41"/>
    <row r="901" ht="14.25" customHeight="1" s="41"/>
    <row r="902" ht="14.25" customHeight="1" s="41"/>
    <row r="903" ht="14.25" customHeight="1" s="41"/>
    <row r="904" ht="14.25" customHeight="1" s="41"/>
    <row r="905" ht="14.25" customHeight="1" s="41"/>
    <row r="906" ht="14.25" customHeight="1" s="41"/>
    <row r="907" ht="14.25" customHeight="1" s="41"/>
    <row r="908" ht="14.25" customHeight="1" s="41"/>
    <row r="909" ht="14.25" customHeight="1" s="41"/>
    <row r="910" ht="14.25" customHeight="1" s="41"/>
    <row r="911" ht="14.25" customHeight="1" s="41"/>
    <row r="912" ht="14.25" customHeight="1" s="41"/>
    <row r="913" ht="14.25" customHeight="1" s="41"/>
    <row r="914" ht="14.25" customHeight="1" s="41"/>
    <row r="915" ht="14.25" customHeight="1" s="41"/>
    <row r="916" ht="14.25" customHeight="1" s="41"/>
    <row r="917" ht="14.25" customHeight="1" s="41"/>
    <row r="918" ht="14.25" customHeight="1" s="41"/>
    <row r="919" ht="14.25" customHeight="1" s="41"/>
    <row r="920" ht="14.25" customHeight="1" s="41"/>
    <row r="921" ht="14.25" customHeight="1" s="41"/>
    <row r="922" ht="14.25" customHeight="1" s="41"/>
    <row r="923" ht="14.25" customHeight="1" s="41"/>
    <row r="924" ht="14.25" customHeight="1" s="41"/>
    <row r="925" ht="14.25" customHeight="1" s="41"/>
    <row r="926" ht="14.25" customHeight="1" s="41"/>
    <row r="927" ht="14.25" customHeight="1" s="41"/>
    <row r="928" ht="14.25" customHeight="1" s="41"/>
    <row r="929" ht="14.25" customHeight="1" s="41"/>
    <row r="930" ht="14.25" customHeight="1" s="41"/>
    <row r="931" ht="14.25" customHeight="1" s="41"/>
    <row r="932" ht="14.25" customHeight="1" s="41"/>
    <row r="933" ht="14.25" customHeight="1" s="41"/>
    <row r="934" ht="14.25" customHeight="1" s="41"/>
    <row r="935" ht="14.25" customHeight="1" s="41"/>
    <row r="936" ht="14.25" customHeight="1" s="41"/>
    <row r="937" ht="14.25" customHeight="1" s="41"/>
    <row r="938" ht="14.25" customHeight="1" s="41"/>
    <row r="939" ht="14.25" customHeight="1" s="41"/>
    <row r="940" ht="14.25" customHeight="1" s="41"/>
    <row r="941" ht="14.25" customHeight="1" s="41"/>
    <row r="942" ht="14.25" customHeight="1" s="41"/>
    <row r="943" ht="14.25" customHeight="1" s="41"/>
    <row r="944" ht="14.25" customHeight="1" s="41"/>
    <row r="945" ht="14.25" customHeight="1" s="41"/>
    <row r="946" ht="14.25" customHeight="1" s="41"/>
    <row r="947" ht="14.25" customHeight="1" s="41"/>
    <row r="948" ht="14.25" customHeight="1" s="41"/>
    <row r="949" ht="14.25" customHeight="1" s="41"/>
    <row r="950" ht="14.25" customHeight="1" s="41"/>
    <row r="951" ht="14.25" customHeight="1" s="41"/>
    <row r="952" ht="14.25" customHeight="1" s="41"/>
    <row r="953" ht="14.25" customHeight="1" s="41"/>
    <row r="954" ht="14.25" customHeight="1" s="41"/>
    <row r="955" ht="14.25" customHeight="1" s="41"/>
    <row r="956" ht="14.25" customHeight="1" s="41"/>
    <row r="957" ht="14.25" customHeight="1" s="41"/>
    <row r="958" ht="14.25" customHeight="1" s="41"/>
    <row r="959" ht="14.25" customHeight="1" s="41"/>
    <row r="960" ht="14.25" customHeight="1" s="41"/>
    <row r="961" ht="14.25" customHeight="1" s="41"/>
    <row r="962" ht="14.25" customHeight="1" s="41"/>
    <row r="963" ht="14.25" customHeight="1" s="41"/>
    <row r="964" ht="14.25" customHeight="1" s="41"/>
    <row r="965" ht="14.25" customHeight="1" s="41"/>
    <row r="966" ht="14.25" customHeight="1" s="41"/>
    <row r="967" ht="14.25" customHeight="1" s="41"/>
    <row r="968" ht="14.25" customHeight="1" s="41"/>
    <row r="969" ht="14.25" customHeight="1" s="41"/>
    <row r="970" ht="14.25" customHeight="1" s="41"/>
    <row r="971" ht="14.25" customHeight="1" s="41"/>
    <row r="972" ht="14.25" customHeight="1" s="41"/>
    <row r="973" ht="14.25" customHeight="1" s="41"/>
    <row r="974" ht="14.25" customHeight="1" s="41"/>
    <row r="975" ht="14.25" customHeight="1" s="41"/>
    <row r="976" ht="14.25" customHeight="1" s="41"/>
    <row r="977" ht="14.25" customHeight="1" s="41"/>
    <row r="978" ht="14.25" customHeight="1" s="41"/>
    <row r="979" ht="14.25" customHeight="1" s="41"/>
    <row r="980" ht="14.25" customHeight="1" s="41"/>
    <row r="981" ht="14.25" customHeight="1" s="41"/>
    <row r="982" ht="14.25" customHeight="1" s="41"/>
    <row r="983" ht="14.25" customHeight="1" s="41"/>
    <row r="984" ht="14.25" customHeight="1" s="41"/>
    <row r="985" ht="14.25" customHeight="1" s="41"/>
    <row r="986" ht="14.25" customHeight="1" s="41"/>
    <row r="987" ht="14.25" customHeight="1" s="41"/>
    <row r="988" ht="14.25" customHeight="1" s="41"/>
    <row r="989" ht="14.25" customHeight="1" s="41"/>
    <row r="990" ht="14.25" customHeight="1" s="41"/>
    <row r="991" ht="14.25" customHeight="1" s="41"/>
    <row r="992" ht="14.25" customHeight="1" s="41"/>
    <row r="993" ht="14.25" customHeight="1" s="41"/>
    <row r="994" ht="14.25" customHeight="1" s="41"/>
    <row r="995" ht="14.25" customHeight="1" s="41"/>
    <row r="996" ht="14.25" customHeight="1" s="41"/>
    <row r="997" ht="14.25" customHeight="1" s="41"/>
    <row r="998" ht="14.25" customHeight="1" s="41"/>
    <row r="999" ht="14.25" customHeight="1" s="41"/>
    <row r="1000" ht="14.25" customHeight="1" s="41"/>
  </sheetData>
  <mergeCells count="1">
    <mergeCell ref="A1:I1"/>
  </mergeCells>
  <dataValidations count="2">
    <dataValidation sqref="H4:H94" showErrorMessage="1" showInputMessage="1" allowBlank="1" type="list">
      <formula1>"◯,×"</formula1>
    </dataValidation>
    <dataValidation sqref="G5:G94" showErrorMessage="1" showInputMessage="1" allowBlank="1" prompt="入力エラー - 0以上の整数を入力してください。" type="decimal" operator="greaterThanOrEqual">
      <formula1>0.0</formula1>
    </dataValidation>
  </dataValidations>
  <pageMargins left="0.75" right="0.75" top="1" bottom="1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79"/>
  <sheetViews>
    <sheetView showGridLines="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8" defaultColWidth="14.43" defaultRowHeight="15" customHeight="1"/>
  <cols>
    <col width="9.140000000000001" customWidth="1" style="41" min="1" max="2"/>
    <col width="7.29" customWidth="1" style="41" min="3" max="3"/>
    <col width="23.57" customWidth="1" style="41" min="4" max="4"/>
    <col width="16.43" customWidth="1" style="41" min="5" max="5"/>
    <col width="10.86" customWidth="1" style="41" min="6" max="6"/>
    <col width="12.71" customWidth="1" style="41" min="7" max="8"/>
    <col width="36.43" customWidth="1" style="41" min="9" max="9"/>
    <col width="22" customWidth="1" style="41" min="10" max="13"/>
    <col width="7.86" customWidth="1" style="41" min="14" max="26"/>
  </cols>
  <sheetData>
    <row r="1" ht="25.5" customHeight="1" s="41">
      <c r="A1" s="1" t="inlineStr">
        <is>
          <t>チェックリスト — 実施記録（メイン）</t>
        </is>
      </c>
    </row>
    <row r="2" ht="14.25" customHeight="1" s="41"/>
    <row r="3" ht="30" customHeight="1" s="41">
      <c r="A3" s="6" t="inlineStr">
        <is>
          <t>ラウンド</t>
        </is>
      </c>
      <c r="B3" s="6" t="inlineStr">
        <is>
          <t>セッション(Day)</t>
        </is>
      </c>
      <c r="C3" s="6" t="inlineStr">
        <is>
          <t>番号</t>
        </is>
      </c>
      <c r="D3" s="6" t="inlineStr">
        <is>
          <t>場面</t>
        </is>
      </c>
      <c r="E3" s="6" t="inlineStr">
        <is>
          <t>正解</t>
        </is>
      </c>
      <c r="F3" s="6" t="inlineStr">
        <is>
          <t>実施日</t>
        </is>
      </c>
      <c r="G3" s="6" t="inlineStr">
        <is>
          <t>反応した回数</t>
        </is>
      </c>
      <c r="H3" s="6" t="inlineStr">
        <is>
          <t>期待どおり？</t>
        </is>
      </c>
      <c r="I3" s="6" t="inlineStr">
        <is>
          <t>メモ</t>
        </is>
      </c>
      <c r="J3" s="14" t="inlineStr">
        <is>
          <t>高齢者役_環境</t>
        </is>
      </c>
      <c r="K3" s="14" t="inlineStr">
        <is>
          <t>高齢者役_マイク</t>
        </is>
      </c>
      <c r="L3" s="14" t="inlineStr">
        <is>
          <t>家族役_環境</t>
        </is>
      </c>
      <c r="M3" s="14" t="inlineStr">
        <is>
          <t>家族役_マイク</t>
        </is>
      </c>
    </row>
    <row r="4" ht="17.25" customHeight="1" s="41">
      <c r="A4" s="15" t="inlineStr">
        <is>
          <t>例</t>
        </is>
      </c>
      <c r="B4" s="15" t="n">
        <v>1</v>
      </c>
      <c r="C4" s="16" t="inlineStr">
        <is>
          <t>A1</t>
        </is>
      </c>
      <c r="D4" s="17" t="inlineStr">
        <is>
          <t>静かにする</t>
        </is>
      </c>
      <c r="E4" s="15" t="inlineStr">
        <is>
          <t>反応しない</t>
        </is>
      </c>
      <c r="F4" s="16" t="inlineStr">
        <is>
          <t>7/15</t>
        </is>
      </c>
      <c r="G4" s="15" t="n">
        <v>0</v>
      </c>
      <c r="H4" s="15" t="inlineStr">
        <is>
          <t>◯</t>
        </is>
      </c>
      <c r="I4" s="17" t="inlineStr">
        <is>
          <t>問題なし</t>
        </is>
      </c>
      <c r="J4" s="18">
        <f t="array" ref="J4">IFERROR(INDEX('④回収ファイル一覧'!$G$4:$G$11,MATCH(A4&amp;"-"&amp;B4,'④回収ファイル一覧'!$K$4:$K$11,0)),"")</f>
        <v/>
      </c>
      <c r="K4" s="18">
        <f t="array" ref="K4">IFERROR(INDEX('④回収ファイル一覧'!$H$4:$H$11,MATCH(A4&amp;"-"&amp;B4,'④回収ファイル一覧'!$K$4:$K$11,0)),"")</f>
        <v/>
      </c>
      <c r="L4" s="18">
        <f t="array" ref="L4">IFERROR(INDEX('④回収ファイル一覧'!$I$4:$I$11,MATCH(A4&amp;"-"&amp;B4,'④回収ファイル一覧'!$K$4:$K$11,0)),"")</f>
        <v/>
      </c>
      <c r="M4" s="18">
        <f t="array" ref="M4">IFERROR(INDEX('④回収ファイル一覧'!$J$4:$J$11,MATCH(A4&amp;"-"&amp;B4,'④回収ファイル一覧'!$K$4:$K$11,0)),"")</f>
        <v/>
      </c>
    </row>
    <row r="5" ht="17.25" customHeight="1" s="41">
      <c r="A5" s="31" t="n">
        <v>1</v>
      </c>
      <c r="B5" s="31" t="n">
        <v>2</v>
      </c>
      <c r="C5" s="20" t="inlineStr">
        <is>
          <t>A1</t>
        </is>
      </c>
      <c r="D5" s="21" t="inlineStr">
        <is>
          <t>静かにする</t>
        </is>
      </c>
      <c r="E5" s="31" t="inlineStr">
        <is>
          <t>反応しない</t>
        </is>
      </c>
      <c r="F5" s="33" t="n">
        <v>46215</v>
      </c>
      <c r="G5" s="31" t="n">
        <v>1</v>
      </c>
      <c r="H5" s="28" t="inlineStr">
        <is>
          <t>×</t>
        </is>
      </c>
      <c r="I5" s="24" t="inlineStr">
        <is>
          <t>機械音みたいなものに反応</t>
        </is>
      </c>
      <c r="J5" s="18">
        <f t="array" ref="J5">IFERROR(INDEX('④回収ファイル一覧'!$G$4:$G$11,MATCH(A5&amp;"-"&amp;B5,'④回収ファイル一覧'!$K$4:$K$11,0)),"")</f>
        <v/>
      </c>
      <c r="K5" s="18">
        <f t="array" ref="K5">IFERROR(INDEX('④回収ファイル一覧'!$H$4:$H$11,MATCH(A5&amp;"-"&amp;B5,'④回収ファイル一覧'!$K$4:$K$11,0)),"")</f>
        <v/>
      </c>
      <c r="L5" s="18">
        <f t="array" ref="L5">IFERROR(INDEX('④回収ファイル一覧'!$I$4:$I$11,MATCH(A5&amp;"-"&amp;B5,'④回収ファイル一覧'!$K$4:$K$11,0)),"")</f>
        <v/>
      </c>
      <c r="M5" s="18">
        <f t="array" ref="M5">IFERROR(INDEX('④回収ファイル一覧'!$J$4:$J$11,MATCH(A5&amp;"-"&amp;B5,'④回収ファイル一覧'!$K$4:$K$11,0)),"")</f>
        <v/>
      </c>
    </row>
    <row r="6">
      <c r="A6" s="31" t="n">
        <v>1</v>
      </c>
      <c r="B6" s="31" t="n">
        <v>2</v>
      </c>
      <c r="C6" s="20" t="inlineStr">
        <is>
          <t>A2</t>
        </is>
      </c>
      <c r="D6" s="21" t="inlineStr">
        <is>
          <t>ふつうの雑談（10分）</t>
        </is>
      </c>
      <c r="E6" s="31" t="inlineStr">
        <is>
          <t>反応しない</t>
        </is>
      </c>
      <c r="F6" s="33" t="n">
        <v>46215</v>
      </c>
      <c r="G6" s="31" t="n">
        <v>9</v>
      </c>
      <c r="H6" s="28" t="inlineStr">
        <is>
          <t>×</t>
        </is>
      </c>
      <c r="I6" s="24" t="inlineStr">
        <is>
          <t>平坦な声で世間話をしているが9回も反応した</t>
        </is>
      </c>
      <c r="J6" s="18">
        <f t="array" ref="J6">IFERROR(INDEX('④回収ファイル一覧'!$G$4:$G$11,MATCH(A6&amp;"-"&amp;B6,'④回収ファイル一覧'!$K$4:$K$11,0)),"")</f>
        <v/>
      </c>
      <c r="K6" s="18">
        <f t="array" ref="K6">IFERROR(INDEX('④回収ファイル一覧'!$H$4:$H$11,MATCH(A6&amp;"-"&amp;B6,'④回収ファイル一覧'!$K$4:$K$11,0)),"")</f>
        <v/>
      </c>
      <c r="L6" s="18">
        <f t="array" ref="L6">IFERROR(INDEX('④回収ファイル一覧'!$I$4:$I$11,MATCH(A6&amp;"-"&amp;B6,'④回収ファイル一覧'!$K$4:$K$11,0)),"")</f>
        <v/>
      </c>
      <c r="M6" s="18">
        <f t="array" ref="M6">IFERROR(INDEX('④回収ファイル一覧'!$J$4:$J$11,MATCH(A6&amp;"-"&amp;B6,'④回収ファイル一覧'!$K$4:$K$11,0)),"")</f>
        <v/>
      </c>
    </row>
    <row r="7" ht="17.25" customHeight="1" s="41">
      <c r="A7" s="31" t="n">
        <v>1</v>
      </c>
      <c r="B7" s="31" t="n">
        <v>2</v>
      </c>
      <c r="C7" s="20" t="inlineStr">
        <is>
          <t>A3</t>
        </is>
      </c>
      <c r="D7" s="21" t="inlineStr">
        <is>
          <t>本を読む</t>
        </is>
      </c>
      <c r="E7" s="31" t="inlineStr">
        <is>
          <t>反応しない</t>
        </is>
      </c>
      <c r="F7" s="33" t="n">
        <v>46215</v>
      </c>
      <c r="G7" s="31" t="n">
        <v>14</v>
      </c>
      <c r="H7" s="28" t="inlineStr">
        <is>
          <t>×</t>
        </is>
      </c>
      <c r="I7" s="32" t="n"/>
      <c r="J7" s="18">
        <f t="array" ref="J7">IFERROR(INDEX('④回収ファイル一覧'!$G$4:$G$11,MATCH(A7&amp;"-"&amp;B7,'④回収ファイル一覧'!$K$4:$K$11,0)),"")</f>
        <v/>
      </c>
      <c r="K7" s="18">
        <f t="array" ref="K7">IFERROR(INDEX('④回収ファイル一覧'!$H$4:$H$11,MATCH(A7&amp;"-"&amp;B7,'④回収ファイル一覧'!$K$4:$K$11,0)),"")</f>
        <v/>
      </c>
      <c r="L7" s="18">
        <f t="array" ref="L7">IFERROR(INDEX('④回収ファイル一覧'!$I$4:$I$11,MATCH(A7&amp;"-"&amp;B7,'④回収ファイル一覧'!$K$4:$K$11,0)),"")</f>
        <v/>
      </c>
      <c r="M7" s="18">
        <f t="array" ref="M7">IFERROR(INDEX('④回収ファイル一覧'!$J$4:$J$11,MATCH(A7&amp;"-"&amp;B7,'④回収ファイル一覧'!$K$4:$K$11,0)),"")</f>
        <v/>
      </c>
    </row>
    <row r="8">
      <c r="A8" s="31" t="n">
        <v>1</v>
      </c>
      <c r="B8" s="31" t="n">
        <v>2</v>
      </c>
      <c r="C8" s="20" t="inlineStr">
        <is>
          <t>A4</t>
        </is>
      </c>
      <c r="D8" s="21" t="inlineStr">
        <is>
          <t>生活音を出す</t>
        </is>
      </c>
      <c r="E8" s="31" t="inlineStr">
        <is>
          <t>反応しない</t>
        </is>
      </c>
      <c r="F8" s="33" t="n">
        <v>46215</v>
      </c>
      <c r="G8" s="31" t="n">
        <v>5</v>
      </c>
      <c r="H8" s="28" t="inlineStr">
        <is>
          <t>×</t>
        </is>
      </c>
      <c r="I8" s="24" t="inlineStr">
        <is>
          <t>掃除機の音、ペットボトルに水を入れる音、</t>
        </is>
      </c>
      <c r="J8" s="18">
        <f t="array" ref="J8">IFERROR(INDEX('④回収ファイル一覧'!$G$4:$G$11,MATCH(A8&amp;"-"&amp;B8,'④回収ファイル一覧'!$K$4:$K$11,0)),"")</f>
        <v/>
      </c>
      <c r="K8" s="18">
        <f t="array" ref="K8">IFERROR(INDEX('④回収ファイル一覧'!$H$4:$H$11,MATCH(A8&amp;"-"&amp;B8,'④回収ファイル一覧'!$K$4:$K$11,0)),"")</f>
        <v/>
      </c>
      <c r="L8" s="18">
        <f t="array" ref="L8">IFERROR(INDEX('④回収ファイル一覧'!$I$4:$I$11,MATCH(A8&amp;"-"&amp;B8,'④回収ファイル一覧'!$K$4:$K$11,0)),"")</f>
        <v/>
      </c>
      <c r="M8" s="18">
        <f t="array" ref="M8">IFERROR(INDEX('④回収ファイル一覧'!$J$4:$J$11,MATCH(A8&amp;"-"&amp;B8,'④回収ファイル一覧'!$K$4:$K$11,0)),"")</f>
        <v/>
      </c>
    </row>
    <row r="9" ht="33.75" customHeight="1" s="41">
      <c r="A9" s="31" t="n">
        <v>1</v>
      </c>
      <c r="B9" s="31" t="n">
        <v>2</v>
      </c>
      <c r="C9" s="20" t="inlineStr">
        <is>
          <t>A5</t>
        </is>
      </c>
      <c r="D9" s="21" t="inlineStr">
        <is>
          <t>最初のあいさつ（かけ直し）</t>
        </is>
      </c>
      <c r="E9" s="31" t="inlineStr">
        <is>
          <t>反応しない</t>
        </is>
      </c>
      <c r="F9" s="33" t="n">
        <v>46215</v>
      </c>
      <c r="G9" s="31" t="n">
        <v>1</v>
      </c>
      <c r="H9" s="28" t="inlineStr">
        <is>
          <t>×</t>
        </is>
      </c>
      <c r="I9" s="32" t="n"/>
      <c r="J9" s="18">
        <f t="array" ref="J9">IFERROR(INDEX('④回収ファイル一覧'!$G$4:$G$11,MATCH(A9&amp;"-"&amp;B9,'④回収ファイル一覧'!$K$4:$K$11,0)),"")</f>
        <v/>
      </c>
      <c r="K9" s="18">
        <f t="array" ref="K9">IFERROR(INDEX('④回収ファイル一覧'!$H$4:$H$11,MATCH(A9&amp;"-"&amp;B9,'④回収ファイル一覧'!$K$4:$K$11,0)),"")</f>
        <v/>
      </c>
      <c r="L9" s="18">
        <f t="array" ref="L9">IFERROR(INDEX('④回収ファイル一覧'!$I$4:$I$11,MATCH(A9&amp;"-"&amp;B9,'④回収ファイル一覧'!$K$4:$K$11,0)),"")</f>
        <v/>
      </c>
      <c r="M9" s="18">
        <f t="array" ref="M9">IFERROR(INDEX('④回収ファイル一覧'!$J$4:$J$11,MATCH(A9&amp;"-"&amp;B9,'④回収ファイル一覧'!$K$4:$K$11,0)),"")</f>
        <v/>
      </c>
    </row>
    <row r="10">
      <c r="A10" s="31" t="n">
        <v>1</v>
      </c>
      <c r="B10" s="31" t="n">
        <v>2</v>
      </c>
      <c r="C10" s="20" t="inlineStr">
        <is>
          <t>A6</t>
        </is>
      </c>
      <c r="D10" s="21" t="inlineStr">
        <is>
          <t>立って戻る</t>
        </is>
      </c>
      <c r="E10" s="31" t="inlineStr">
        <is>
          <t>反応しない</t>
        </is>
      </c>
      <c r="F10" s="33" t="n">
        <v>46215</v>
      </c>
      <c r="G10" s="31" t="n">
        <v>8</v>
      </c>
      <c r="H10" s="28" t="inlineStr">
        <is>
          <t>×</t>
        </is>
      </c>
      <c r="I10" s="24" t="inlineStr">
        <is>
          <t>途中で落ちたので3回目のログに入っている</t>
        </is>
      </c>
      <c r="J10" s="18">
        <f t="array" ref="J10">IFERROR(INDEX('④回収ファイル一覧'!$G$4:$G$11,MATCH(A10&amp;"-"&amp;B10,'④回収ファイル一覧'!$K$4:$K$11,0)),"")</f>
        <v/>
      </c>
      <c r="K10" s="18">
        <f t="array" ref="K10">IFERROR(INDEX('④回収ファイル一覧'!$H$4:$H$11,MATCH(A10&amp;"-"&amp;B10,'④回収ファイル一覧'!$K$4:$K$11,0)),"")</f>
        <v/>
      </c>
      <c r="L10" s="18">
        <f t="array" ref="L10">IFERROR(INDEX('④回収ファイル一覧'!$I$4:$I$11,MATCH(A10&amp;"-"&amp;B10,'④回収ファイル一覧'!$K$4:$K$11,0)),"")</f>
        <v/>
      </c>
      <c r="M10" s="18">
        <f t="array" ref="M10">IFERROR(INDEX('④回収ファイル一覧'!$J$4:$J$11,MATCH(A10&amp;"-"&amp;B10,'④回収ファイル一覧'!$K$4:$K$11,0)),"")</f>
        <v/>
      </c>
    </row>
    <row r="11" ht="17.25" customHeight="1" s="41">
      <c r="A11" s="31" t="n">
        <v>1</v>
      </c>
      <c r="B11" s="31" t="n">
        <v>2</v>
      </c>
      <c r="C11" s="26" t="inlineStr">
        <is>
          <t>B1</t>
        </is>
      </c>
      <c r="D11" s="27" t="inlineStr">
        <is>
          <t>声を出して笑う</t>
        </is>
      </c>
      <c r="E11" s="31" t="inlineStr">
        <is>
          <t>反応する</t>
        </is>
      </c>
      <c r="F11" s="33" t="n">
        <v>46215</v>
      </c>
      <c r="G11" s="31" t="n">
        <v>5</v>
      </c>
      <c r="H11" s="31" t="n"/>
      <c r="I11" s="32" t="n"/>
      <c r="J11" s="18">
        <f t="array" ref="J11">IFERROR(INDEX('④回収ファイル一覧'!$G$4:$G$11,MATCH(A11&amp;"-"&amp;B11,'④回収ファイル一覧'!$K$4:$K$11,0)),"")</f>
        <v/>
      </c>
      <c r="K11" s="18">
        <f t="array" ref="K11">IFERROR(INDEX('④回収ファイル一覧'!$H$4:$H$11,MATCH(A11&amp;"-"&amp;B11,'④回収ファイル一覧'!$K$4:$K$11,0)),"")</f>
        <v/>
      </c>
      <c r="L11" s="18">
        <f t="array" ref="L11">IFERROR(INDEX('④回収ファイル一覧'!$I$4:$I$11,MATCH(A11&amp;"-"&amp;B11,'④回収ファイル一覧'!$K$4:$K$11,0)),"")</f>
        <v/>
      </c>
      <c r="M11" s="18">
        <f t="array" ref="M11">IFERROR(INDEX('④回収ファイル一覧'!$J$4:$J$11,MATCH(A11&amp;"-"&amp;B11,'④回収ファイル一覧'!$K$4:$K$11,0)),"")</f>
        <v/>
      </c>
    </row>
    <row r="12" ht="17.25" customHeight="1" s="41">
      <c r="A12" s="31" t="n">
        <v>1</v>
      </c>
      <c r="B12" s="31" t="n">
        <v>2</v>
      </c>
      <c r="C12" s="26" t="inlineStr">
        <is>
          <t>B2</t>
        </is>
      </c>
      <c r="D12" s="27" t="inlineStr">
        <is>
          <t>驚く</t>
        </is>
      </c>
      <c r="E12" s="31" t="inlineStr">
        <is>
          <t>反応する</t>
        </is>
      </c>
      <c r="F12" s="33" t="n">
        <v>46215</v>
      </c>
      <c r="G12" s="31" t="n">
        <v>4</v>
      </c>
      <c r="H12" s="31" t="n"/>
      <c r="I12" s="32" t="n"/>
      <c r="J12" s="18">
        <f t="array" ref="J12">IFERROR(INDEX('④回収ファイル一覧'!$G$4:$G$11,MATCH(A12&amp;"-"&amp;B12,'④回収ファイル一覧'!$K$4:$K$11,0)),"")</f>
        <v/>
      </c>
      <c r="K12" s="18">
        <f t="array" ref="K12">IFERROR(INDEX('④回収ファイル一覧'!$H$4:$H$11,MATCH(A12&amp;"-"&amp;B12,'④回収ファイル一覧'!$K$4:$K$11,0)),"")</f>
        <v/>
      </c>
      <c r="L12" s="18">
        <f t="array" ref="L12">IFERROR(INDEX('④回収ファイル一覧'!$I$4:$I$11,MATCH(A12&amp;"-"&amp;B12,'④回収ファイル一覧'!$K$4:$K$11,0)),"")</f>
        <v/>
      </c>
      <c r="M12" s="18">
        <f t="array" ref="M12">IFERROR(INDEX('④回収ファイル一覧'!$J$4:$J$11,MATCH(A12&amp;"-"&amp;B12,'④回収ファイル一覧'!$K$4:$K$11,0)),"")</f>
        <v/>
      </c>
    </row>
    <row r="13" ht="17.25" customHeight="1" s="41">
      <c r="A13" s="31" t="n">
        <v>1</v>
      </c>
      <c r="B13" s="31" t="n">
        <v>2</v>
      </c>
      <c r="C13" s="26" t="inlineStr">
        <is>
          <t>B3</t>
        </is>
      </c>
      <c r="D13" s="27" t="inlineStr">
        <is>
          <t>怒る</t>
        </is>
      </c>
      <c r="E13" s="31" t="inlineStr">
        <is>
          <t>反応する</t>
        </is>
      </c>
      <c r="F13" s="33" t="n">
        <v>46215</v>
      </c>
      <c r="G13" s="31" t="n">
        <v>3</v>
      </c>
      <c r="H13" s="31" t="n"/>
      <c r="I13" s="32" t="n"/>
      <c r="J13" s="18">
        <f t="array" ref="J13">IFERROR(INDEX('④回収ファイル一覧'!$G$4:$G$11,MATCH(A13&amp;"-"&amp;B13,'④回収ファイル一覧'!$K$4:$K$11,0)),"")</f>
        <v/>
      </c>
      <c r="K13" s="18">
        <f t="array" ref="K13">IFERROR(INDEX('④回収ファイル一覧'!$H$4:$H$11,MATCH(A13&amp;"-"&amp;B13,'④回収ファイル一覧'!$K$4:$K$11,0)),"")</f>
        <v/>
      </c>
      <c r="L13" s="18">
        <f t="array" ref="L13">IFERROR(INDEX('④回収ファイル一覧'!$I$4:$I$11,MATCH(A13&amp;"-"&amp;B13,'④回収ファイル一覧'!$K$4:$K$11,0)),"")</f>
        <v/>
      </c>
      <c r="M13" s="18">
        <f t="array" ref="M13">IFERROR(INDEX('④回収ファイル一覧'!$J$4:$J$11,MATCH(A13&amp;"-"&amp;B13,'④回収ファイル一覧'!$K$4:$K$11,0)),"")</f>
        <v/>
      </c>
    </row>
    <row r="14" ht="33.75" customHeight="1" s="41">
      <c r="A14" s="31" t="n">
        <v>1</v>
      </c>
      <c r="B14" s="31" t="n">
        <v>2</v>
      </c>
      <c r="C14" s="26" t="inlineStr">
        <is>
          <t>B4</t>
        </is>
      </c>
      <c r="D14" s="27" t="inlineStr">
        <is>
          <t>静かに笑う（声量そのまま）</t>
        </is>
      </c>
      <c r="E14" s="31" t="inlineStr">
        <is>
          <t>反応する</t>
        </is>
      </c>
      <c r="F14" s="33" t="n">
        <v>46215</v>
      </c>
      <c r="G14" s="31" t="n">
        <v>4</v>
      </c>
      <c r="H14" s="31" t="n"/>
      <c r="I14" s="32" t="n"/>
      <c r="J14" s="18">
        <f t="array" ref="J14">IFERROR(INDEX('④回収ファイル一覧'!$G$4:$G$11,MATCH(A14&amp;"-"&amp;B14,'④回収ファイル一覧'!$K$4:$K$11,0)),"")</f>
        <v/>
      </c>
      <c r="K14" s="18">
        <f t="array" ref="K14">IFERROR(INDEX('④回収ファイル一覧'!$H$4:$H$11,MATCH(A14&amp;"-"&amp;B14,'④回収ファイル一覧'!$K$4:$K$11,0)),"")</f>
        <v/>
      </c>
      <c r="L14" s="18">
        <f t="array" ref="L14">IFERROR(INDEX('④回収ファイル一覧'!$I$4:$I$11,MATCH(A14&amp;"-"&amp;B14,'④回収ファイル一覧'!$K$4:$K$11,0)),"")</f>
        <v/>
      </c>
      <c r="M14" s="18">
        <f t="array" ref="M14">IFERROR(INDEX('④回収ファイル一覧'!$J$4:$J$11,MATCH(A14&amp;"-"&amp;B14,'④回収ファイル一覧'!$K$4:$K$11,0)),"")</f>
        <v/>
      </c>
    </row>
    <row r="15" ht="17.25" customHeight="1" s="41">
      <c r="A15" s="31" t="n">
        <v>1</v>
      </c>
      <c r="B15" s="31" t="n">
        <v>2</v>
      </c>
      <c r="C15" s="26" t="inlineStr">
        <is>
          <t>B5</t>
        </is>
      </c>
      <c r="D15" s="27" t="inlineStr">
        <is>
          <t>ほめ言葉（ふだんの声）</t>
        </is>
      </c>
      <c r="E15" s="31" t="inlineStr">
        <is>
          <t>反応する</t>
        </is>
      </c>
      <c r="F15" s="33" t="n">
        <v>46215</v>
      </c>
      <c r="G15" s="31" t="n">
        <v>5</v>
      </c>
      <c r="H15" s="31" t="n"/>
      <c r="I15" s="32" t="n"/>
      <c r="J15" s="18">
        <f t="array" ref="J15">IFERROR(INDEX('④回収ファイル一覧'!$G$4:$G$11,MATCH(A15&amp;"-"&amp;B15,'④回収ファイル一覧'!$K$4:$K$11,0)),"")</f>
        <v/>
      </c>
      <c r="K15" s="18">
        <f t="array" ref="K15">IFERROR(INDEX('④回収ファイル一覧'!$H$4:$H$11,MATCH(A15&amp;"-"&amp;B15,'④回収ファイル一覧'!$K$4:$K$11,0)),"")</f>
        <v/>
      </c>
      <c r="L15" s="18">
        <f t="array" ref="L15">IFERROR(INDEX('④回収ファイル一覧'!$I$4:$I$11,MATCH(A15&amp;"-"&amp;B15,'④回収ファイル一覧'!$K$4:$K$11,0)),"")</f>
        <v/>
      </c>
      <c r="M15" s="18">
        <f t="array" ref="M15">IFERROR(INDEX('④回収ファイル一覧'!$J$4:$J$11,MATCH(A15&amp;"-"&amp;B15,'④回収ファイル一覧'!$K$4:$K$11,0)),"")</f>
        <v/>
      </c>
    </row>
    <row r="16" ht="17.25" customHeight="1" s="41">
      <c r="A16" s="31" t="n">
        <v>1</v>
      </c>
      <c r="B16" s="31" t="n">
        <v>2</v>
      </c>
      <c r="C16" s="26" t="inlineStr">
        <is>
          <t>B6</t>
        </is>
      </c>
      <c r="D16" s="27" t="inlineStr">
        <is>
          <t>感極まる</t>
        </is>
      </c>
      <c r="E16" s="31" t="inlineStr">
        <is>
          <t>反応する</t>
        </is>
      </c>
      <c r="F16" s="33" t="n">
        <v>46215</v>
      </c>
      <c r="G16" s="31" t="n">
        <v>4</v>
      </c>
      <c r="H16" s="31" t="n"/>
      <c r="I16" s="32" t="n"/>
      <c r="J16" s="18">
        <f t="array" ref="J16">IFERROR(INDEX('④回収ファイル一覧'!$G$4:$G$11,MATCH(A16&amp;"-"&amp;B16,'④回収ファイル一覧'!$K$4:$K$11,0)),"")</f>
        <v/>
      </c>
      <c r="K16" s="18">
        <f t="array" ref="K16">IFERROR(INDEX('④回収ファイル一覧'!$H$4:$H$11,MATCH(A16&amp;"-"&amp;B16,'④回収ファイル一覧'!$K$4:$K$11,0)),"")</f>
        <v/>
      </c>
      <c r="L16" s="18">
        <f t="array" ref="L16">IFERROR(INDEX('④回収ファイル一覧'!$I$4:$I$11,MATCH(A16&amp;"-"&amp;B16,'④回収ファイル一覧'!$K$4:$K$11,0)),"")</f>
        <v/>
      </c>
      <c r="M16" s="18">
        <f t="array" ref="M16">IFERROR(INDEX('④回収ファイル一覧'!$J$4:$J$11,MATCH(A16&amp;"-"&amp;B16,'④回収ファイル一覧'!$K$4:$K$11,0)),"")</f>
        <v/>
      </c>
    </row>
    <row r="17" ht="17.25" customHeight="1" s="41">
      <c r="A17" s="31" t="n">
        <v>1</v>
      </c>
      <c r="B17" s="31" t="n">
        <v>2</v>
      </c>
      <c r="C17" s="29" t="inlineStr">
        <is>
          <t>C1</t>
        </is>
      </c>
      <c r="D17" s="30" t="inlineStr">
        <is>
          <t>咳・くしゃみ・あくび</t>
        </is>
      </c>
      <c r="E17" s="31" t="inlineStr">
        <is>
          <t>記録のみ</t>
        </is>
      </c>
      <c r="F17" s="33" t="n">
        <v>46215</v>
      </c>
      <c r="G17" s="31" t="n">
        <v>3</v>
      </c>
      <c r="H17" s="31" t="n"/>
      <c r="I17" s="24" t="inlineStr">
        <is>
          <t>くしゃみ、あくびに反応</t>
        </is>
      </c>
      <c r="J17" s="18">
        <f t="array" ref="J17">IFERROR(INDEX('④回収ファイル一覧'!$G$4:$G$11,MATCH(A17&amp;"-"&amp;B17,'④回収ファイル一覧'!$K$4:$K$11,0)),"")</f>
        <v/>
      </c>
      <c r="K17" s="18">
        <f t="array" ref="K17">IFERROR(INDEX('④回収ファイル一覧'!$H$4:$H$11,MATCH(A17&amp;"-"&amp;B17,'④回収ファイル一覧'!$K$4:$K$11,0)),"")</f>
        <v/>
      </c>
      <c r="L17" s="18">
        <f t="array" ref="L17">IFERROR(INDEX('④回収ファイル一覧'!$I$4:$I$11,MATCH(A17&amp;"-"&amp;B17,'④回収ファイル一覧'!$K$4:$K$11,0)),"")</f>
        <v/>
      </c>
      <c r="M17" s="18">
        <f t="array" ref="M17">IFERROR(INDEX('④回収ファイル一覧'!$J$4:$J$11,MATCH(A17&amp;"-"&amp;B17,'④回収ファイル一覧'!$K$4:$K$11,0)),"")</f>
        <v/>
      </c>
    </row>
    <row r="18" ht="17.25" customHeight="1" s="41">
      <c r="A18" s="31" t="n">
        <v>1</v>
      </c>
      <c r="B18" s="31" t="n">
        <v>2</v>
      </c>
      <c r="C18" s="29" t="inlineStr">
        <is>
          <t>C2</t>
        </is>
      </c>
      <c r="D18" s="30" t="inlineStr">
        <is>
          <t>笑い続ける30秒</t>
        </is>
      </c>
      <c r="E18" s="19" t="inlineStr">
        <is>
          <t>2回以上反応が正解</t>
        </is>
      </c>
      <c r="F18" s="33" t="n">
        <v>46215</v>
      </c>
      <c r="G18" s="31" t="n">
        <v>4</v>
      </c>
      <c r="H18" s="31" t="n"/>
      <c r="I18" s="32" t="n"/>
      <c r="J18" s="18">
        <f t="array" ref="J18">IFERROR(INDEX('④回収ファイル一覧'!$G$4:$G$11,MATCH(A18&amp;"-"&amp;B18,'④回収ファイル一覧'!$K$4:$K$11,0)),"")</f>
        <v/>
      </c>
      <c r="K18" s="18">
        <f t="array" ref="K18">IFERROR(INDEX('④回収ファイル一覧'!$H$4:$H$11,MATCH(A18&amp;"-"&amp;B18,'④回収ファイル一覧'!$K$4:$K$11,0)),"")</f>
        <v/>
      </c>
      <c r="L18" s="18">
        <f t="array" ref="L18">IFERROR(INDEX('④回収ファイル一覧'!$I$4:$I$11,MATCH(A18&amp;"-"&amp;B18,'④回収ファイル一覧'!$K$4:$K$11,0)),"")</f>
        <v/>
      </c>
      <c r="M18" s="18">
        <f t="array" ref="M18">IFERROR(INDEX('④回収ファイル一覧'!$J$4:$J$11,MATCH(A18&amp;"-"&amp;B18,'④回収ファイル一覧'!$K$4:$K$11,0)),"")</f>
        <v/>
      </c>
    </row>
    <row r="19" ht="33.75" customHeight="1" s="41">
      <c r="A19" s="31" t="n">
        <v>1</v>
      </c>
      <c r="B19" s="31" t="n">
        <v>2</v>
      </c>
      <c r="C19" s="29" t="inlineStr">
        <is>
          <t>C3</t>
        </is>
      </c>
      <c r="D19" s="30" t="inlineStr">
        <is>
          <t>家族側が大声（テスター無言）</t>
        </is>
      </c>
      <c r="E19" s="31" t="inlineStr">
        <is>
          <t>記録のみ</t>
        </is>
      </c>
      <c r="F19" s="33" t="n">
        <v>46215</v>
      </c>
      <c r="G19" s="31" t="n">
        <v>3</v>
      </c>
      <c r="H19" s="31" t="n"/>
      <c r="I19" s="32" t="n"/>
      <c r="J19" s="18">
        <f t="array" ref="J19">IFERROR(INDEX('④回収ファイル一覧'!$G$4:$G$11,MATCH(A19&amp;"-"&amp;B19,'④回収ファイル一覧'!$K$4:$K$11,0)),"")</f>
        <v/>
      </c>
      <c r="K19" s="18">
        <f t="array" ref="K19">IFERROR(INDEX('④回収ファイル一覧'!$H$4:$H$11,MATCH(A19&amp;"-"&amp;B19,'④回収ファイル一覧'!$K$4:$K$11,0)),"")</f>
        <v/>
      </c>
      <c r="L19" s="18">
        <f t="array" ref="L19">IFERROR(INDEX('④回収ファイル一覧'!$I$4:$I$11,MATCH(A19&amp;"-"&amp;B19,'④回収ファイル一覧'!$K$4:$K$11,0)),"")</f>
        <v/>
      </c>
      <c r="M19" s="18">
        <f t="array" ref="M19">IFERROR(INDEX('④回収ファイル一覧'!$J$4:$J$11,MATCH(A19&amp;"-"&amp;B19,'④回収ファイル一覧'!$K$4:$K$11,0)),"")</f>
        <v/>
      </c>
    </row>
    <row r="20" ht="17.25" customHeight="1" s="41">
      <c r="A20" s="31" t="n">
        <v>1</v>
      </c>
      <c r="B20" s="31" t="n">
        <v>3</v>
      </c>
      <c r="C20" s="20" t="inlineStr">
        <is>
          <t>A1</t>
        </is>
      </c>
      <c r="D20" s="21" t="inlineStr">
        <is>
          <t>静かにする</t>
        </is>
      </c>
      <c r="E20" s="31" t="inlineStr">
        <is>
          <t>反応しない</t>
        </is>
      </c>
      <c r="F20" s="31" t="n"/>
      <c r="G20" s="31" t="n">
        <v>0</v>
      </c>
      <c r="H20" s="31" t="n"/>
      <c r="I20" s="32" t="n"/>
      <c r="J20" s="18">
        <f t="array" ref="J20">IFERROR(INDEX('④回収ファイル一覧'!$G$4:$G$11,MATCH(A20&amp;"-"&amp;B20,'④回収ファイル一覧'!$K$4:$K$11,0)),"")</f>
        <v/>
      </c>
      <c r="K20" s="18">
        <f t="array" ref="K20">IFERROR(INDEX('④回収ファイル一覧'!$H$4:$H$11,MATCH(A20&amp;"-"&amp;B20,'④回収ファイル一覧'!$K$4:$K$11,0)),"")</f>
        <v/>
      </c>
      <c r="L20" s="18">
        <f t="array" ref="L20">IFERROR(INDEX('④回収ファイル一覧'!$I$4:$I$11,MATCH(A20&amp;"-"&amp;B20,'④回収ファイル一覧'!$K$4:$K$11,0)),"")</f>
        <v/>
      </c>
      <c r="M20" s="18">
        <f t="array" ref="M20">IFERROR(INDEX('④回収ファイル一覧'!$J$4:$J$11,MATCH(A20&amp;"-"&amp;B20,'④回収ファイル一覧'!$K$4:$K$11,0)),"")</f>
        <v/>
      </c>
    </row>
    <row r="21" ht="17.25" customHeight="1" s="41">
      <c r="A21" s="31" t="n">
        <v>1</v>
      </c>
      <c r="B21" s="31" t="n">
        <v>3</v>
      </c>
      <c r="C21" s="20" t="inlineStr">
        <is>
          <t>A2</t>
        </is>
      </c>
      <c r="D21" s="21" t="inlineStr">
        <is>
          <t>ふつうの雑談（10分）</t>
        </is>
      </c>
      <c r="E21" s="31" t="inlineStr">
        <is>
          <t>反応しない</t>
        </is>
      </c>
      <c r="F21" s="31" t="n"/>
      <c r="G21" s="31" t="n">
        <v>13</v>
      </c>
      <c r="H21" s="31" t="n"/>
      <c r="I21" s="32" t="n"/>
      <c r="J21" s="18">
        <f t="array" ref="J21">IFERROR(INDEX('④回収ファイル一覧'!$G$4:$G$11,MATCH(A21&amp;"-"&amp;B21,'④回収ファイル一覧'!$K$4:$K$11,0)),"")</f>
        <v/>
      </c>
      <c r="K21" s="18">
        <f t="array" ref="K21">IFERROR(INDEX('④回収ファイル一覧'!$H$4:$H$11,MATCH(A21&amp;"-"&amp;B21,'④回収ファイル一覧'!$K$4:$K$11,0)),"")</f>
        <v/>
      </c>
      <c r="L21" s="18">
        <f t="array" ref="L21">IFERROR(INDEX('④回収ファイル一覧'!$I$4:$I$11,MATCH(A21&amp;"-"&amp;B21,'④回収ファイル一覧'!$K$4:$K$11,0)),"")</f>
        <v/>
      </c>
      <c r="M21" s="18">
        <f t="array" ref="M21">IFERROR(INDEX('④回収ファイル一覧'!$J$4:$J$11,MATCH(A21&amp;"-"&amp;B21,'④回収ファイル一覧'!$K$4:$K$11,0)),"")</f>
        <v/>
      </c>
    </row>
    <row r="22" ht="17.25" customHeight="1" s="41">
      <c r="A22" s="31" t="n">
        <v>1</v>
      </c>
      <c r="B22" s="31" t="n">
        <v>3</v>
      </c>
      <c r="C22" s="20" t="inlineStr">
        <is>
          <t>A3</t>
        </is>
      </c>
      <c r="D22" s="21" t="inlineStr">
        <is>
          <t>本を読む</t>
        </is>
      </c>
      <c r="E22" s="31" t="inlineStr">
        <is>
          <t>反応しない</t>
        </is>
      </c>
      <c r="F22" s="31" t="n"/>
      <c r="G22" s="31" t="n">
        <v>13</v>
      </c>
      <c r="H22" s="31" t="n"/>
      <c r="I22" s="32" t="n"/>
      <c r="J22" s="18">
        <f t="array" ref="J22">IFERROR(INDEX('④回収ファイル一覧'!$G$4:$G$11,MATCH(A22&amp;"-"&amp;B22,'④回収ファイル一覧'!$K$4:$K$11,0)),"")</f>
        <v/>
      </c>
      <c r="K22" s="18">
        <f t="array" ref="K22">IFERROR(INDEX('④回収ファイル一覧'!$H$4:$H$11,MATCH(A22&amp;"-"&amp;B22,'④回収ファイル一覧'!$K$4:$K$11,0)),"")</f>
        <v/>
      </c>
      <c r="L22" s="18">
        <f t="array" ref="L22">IFERROR(INDEX('④回収ファイル一覧'!$I$4:$I$11,MATCH(A22&amp;"-"&amp;B22,'④回収ファイル一覧'!$K$4:$K$11,0)),"")</f>
        <v/>
      </c>
      <c r="M22" s="18">
        <f t="array" ref="M22">IFERROR(INDEX('④回収ファイル一覧'!$J$4:$J$11,MATCH(A22&amp;"-"&amp;B22,'④回収ファイル一覧'!$K$4:$K$11,0)),"")</f>
        <v/>
      </c>
    </row>
    <row r="23" ht="17.25" customHeight="1" s="41">
      <c r="A23" s="31" t="n">
        <v>1</v>
      </c>
      <c r="B23" s="31" t="n">
        <v>3</v>
      </c>
      <c r="C23" s="20" t="inlineStr">
        <is>
          <t>A4</t>
        </is>
      </c>
      <c r="D23" s="21" t="inlineStr">
        <is>
          <t>生活音を出す</t>
        </is>
      </c>
      <c r="E23" s="31" t="inlineStr">
        <is>
          <t>反応しない</t>
        </is>
      </c>
      <c r="F23" s="31" t="n"/>
      <c r="G23" s="31" t="n">
        <v>6</v>
      </c>
      <c r="H23" s="31" t="n"/>
      <c r="I23" s="32" t="n"/>
      <c r="J23" s="18">
        <f t="array" ref="J23">IFERROR(INDEX('④回収ファイル一覧'!$G$4:$G$11,MATCH(A23&amp;"-"&amp;B23,'④回収ファイル一覧'!$K$4:$K$11,0)),"")</f>
        <v/>
      </c>
      <c r="K23" s="18">
        <f t="array" ref="K23">IFERROR(INDEX('④回収ファイル一覧'!$H$4:$H$11,MATCH(A23&amp;"-"&amp;B23,'④回収ファイル一覧'!$K$4:$K$11,0)),"")</f>
        <v/>
      </c>
      <c r="L23" s="18">
        <f t="array" ref="L23">IFERROR(INDEX('④回収ファイル一覧'!$I$4:$I$11,MATCH(A23&amp;"-"&amp;B23,'④回収ファイル一覧'!$K$4:$K$11,0)),"")</f>
        <v/>
      </c>
      <c r="M23" s="18">
        <f t="array" ref="M23">IFERROR(INDEX('④回収ファイル一覧'!$J$4:$J$11,MATCH(A23&amp;"-"&amp;B23,'④回収ファイル一覧'!$K$4:$K$11,0)),"")</f>
        <v/>
      </c>
    </row>
    <row r="24" ht="33.75" customHeight="1" s="41">
      <c r="A24" s="31" t="n">
        <v>1</v>
      </c>
      <c r="B24" s="31" t="n">
        <v>3</v>
      </c>
      <c r="C24" s="20" t="inlineStr">
        <is>
          <t>A5</t>
        </is>
      </c>
      <c r="D24" s="21" t="inlineStr">
        <is>
          <t>最初のあいさつ（かけ直し）</t>
        </is>
      </c>
      <c r="E24" s="31" t="inlineStr">
        <is>
          <t>反応しない</t>
        </is>
      </c>
      <c r="F24" s="31" t="n"/>
      <c r="G24" s="31" t="n">
        <v>1</v>
      </c>
      <c r="H24" s="31" t="n"/>
      <c r="I24" s="32" t="n"/>
      <c r="J24" s="18">
        <f t="array" ref="J24">IFERROR(INDEX('④回収ファイル一覧'!$G$4:$G$11,MATCH(A24&amp;"-"&amp;B24,'④回収ファイル一覧'!$K$4:$K$11,0)),"")</f>
        <v/>
      </c>
      <c r="K24" s="18">
        <f t="array" ref="K24">IFERROR(INDEX('④回収ファイル一覧'!$H$4:$H$11,MATCH(A24&amp;"-"&amp;B24,'④回収ファイル一覧'!$K$4:$K$11,0)),"")</f>
        <v/>
      </c>
      <c r="L24" s="18">
        <f t="array" ref="L24">IFERROR(INDEX('④回収ファイル一覧'!$I$4:$I$11,MATCH(A24&amp;"-"&amp;B24,'④回収ファイル一覧'!$K$4:$K$11,0)),"")</f>
        <v/>
      </c>
      <c r="M24" s="18">
        <f t="array" ref="M24">IFERROR(INDEX('④回収ファイル一覧'!$J$4:$J$11,MATCH(A24&amp;"-"&amp;B24,'④回収ファイル一覧'!$K$4:$K$11,0)),"")</f>
        <v/>
      </c>
    </row>
    <row r="25" ht="17.25" customHeight="1" s="41">
      <c r="A25" s="31" t="n">
        <v>1</v>
      </c>
      <c r="B25" s="31" t="n">
        <v>3</v>
      </c>
      <c r="C25" s="20" t="inlineStr">
        <is>
          <t>A6</t>
        </is>
      </c>
      <c r="D25" s="21" t="inlineStr">
        <is>
          <t>立って戻る</t>
        </is>
      </c>
      <c r="E25" s="31" t="inlineStr">
        <is>
          <t>反応しない</t>
        </is>
      </c>
      <c r="F25" s="31" t="n"/>
      <c r="G25" s="31" t="n">
        <v>10</v>
      </c>
      <c r="H25" s="31" t="n"/>
      <c r="I25" s="32" t="n"/>
      <c r="J25" s="18">
        <f t="array" ref="J25">IFERROR(INDEX('④回収ファイル一覧'!$G$4:$G$11,MATCH(A25&amp;"-"&amp;B25,'④回収ファイル一覧'!$K$4:$K$11,0)),"")</f>
        <v/>
      </c>
      <c r="K25" s="18">
        <f t="array" ref="K25">IFERROR(INDEX('④回収ファイル一覧'!$H$4:$H$11,MATCH(A25&amp;"-"&amp;B25,'④回収ファイル一覧'!$K$4:$K$11,0)),"")</f>
        <v/>
      </c>
      <c r="L25" s="18">
        <f t="array" ref="L25">IFERROR(INDEX('④回収ファイル一覧'!$I$4:$I$11,MATCH(A25&amp;"-"&amp;B25,'④回収ファイル一覧'!$K$4:$K$11,0)),"")</f>
        <v/>
      </c>
      <c r="M25" s="18">
        <f t="array" ref="M25">IFERROR(INDEX('④回収ファイル一覧'!$J$4:$J$11,MATCH(A25&amp;"-"&amp;B25,'④回収ファイル一覧'!$K$4:$K$11,0)),"")</f>
        <v/>
      </c>
    </row>
    <row r="26" ht="17.25" customHeight="1" s="41">
      <c r="A26" s="31" t="n">
        <v>1</v>
      </c>
      <c r="B26" s="31" t="n">
        <v>3</v>
      </c>
      <c r="C26" s="26" t="inlineStr">
        <is>
          <t>B1</t>
        </is>
      </c>
      <c r="D26" s="27" t="inlineStr">
        <is>
          <t>声を出して笑う</t>
        </is>
      </c>
      <c r="E26" s="31" t="inlineStr">
        <is>
          <t>反応する</t>
        </is>
      </c>
      <c r="F26" s="31" t="n"/>
      <c r="G26" s="31" t="n">
        <v>6</v>
      </c>
      <c r="H26" s="31" t="n"/>
      <c r="I26" s="32" t="n"/>
      <c r="J26" s="18">
        <f t="array" ref="J26">IFERROR(INDEX('④回収ファイル一覧'!$G$4:$G$11,MATCH(A26&amp;"-"&amp;B26,'④回収ファイル一覧'!$K$4:$K$11,0)),"")</f>
        <v/>
      </c>
      <c r="K26" s="18">
        <f t="array" ref="K26">IFERROR(INDEX('④回収ファイル一覧'!$H$4:$H$11,MATCH(A26&amp;"-"&amp;B26,'④回収ファイル一覧'!$K$4:$K$11,0)),"")</f>
        <v/>
      </c>
      <c r="L26" s="18">
        <f t="array" ref="L26">IFERROR(INDEX('④回収ファイル一覧'!$I$4:$I$11,MATCH(A26&amp;"-"&amp;B26,'④回収ファイル一覧'!$K$4:$K$11,0)),"")</f>
        <v/>
      </c>
      <c r="M26" s="18">
        <f t="array" ref="M26">IFERROR(INDEX('④回収ファイル一覧'!$J$4:$J$11,MATCH(A26&amp;"-"&amp;B26,'④回収ファイル一覧'!$K$4:$K$11,0)),"")</f>
        <v/>
      </c>
    </row>
    <row r="27" ht="17.25" customHeight="1" s="41">
      <c r="A27" s="31" t="n">
        <v>1</v>
      </c>
      <c r="B27" s="31" t="n">
        <v>3</v>
      </c>
      <c r="C27" s="26" t="inlineStr">
        <is>
          <t>B2</t>
        </is>
      </c>
      <c r="D27" s="27" t="inlineStr">
        <is>
          <t>驚く</t>
        </is>
      </c>
      <c r="E27" s="31" t="inlineStr">
        <is>
          <t>反応する</t>
        </is>
      </c>
      <c r="F27" s="31" t="n"/>
      <c r="G27" s="31" t="n">
        <v>5</v>
      </c>
      <c r="H27" s="31" t="n"/>
      <c r="I27" s="32" t="n"/>
      <c r="J27" s="18">
        <f t="array" ref="J27">IFERROR(INDEX('④回収ファイル一覧'!$G$4:$G$11,MATCH(A27&amp;"-"&amp;B27,'④回収ファイル一覧'!$K$4:$K$11,0)),"")</f>
        <v/>
      </c>
      <c r="K27" s="18">
        <f t="array" ref="K27">IFERROR(INDEX('④回収ファイル一覧'!$H$4:$H$11,MATCH(A27&amp;"-"&amp;B27,'④回収ファイル一覧'!$K$4:$K$11,0)),"")</f>
        <v/>
      </c>
      <c r="L27" s="18">
        <f t="array" ref="L27">IFERROR(INDEX('④回収ファイル一覧'!$I$4:$I$11,MATCH(A27&amp;"-"&amp;B27,'④回収ファイル一覧'!$K$4:$K$11,0)),"")</f>
        <v/>
      </c>
      <c r="M27" s="18">
        <f t="array" ref="M27">IFERROR(INDEX('④回収ファイル一覧'!$J$4:$J$11,MATCH(A27&amp;"-"&amp;B27,'④回収ファイル一覧'!$K$4:$K$11,0)),"")</f>
        <v/>
      </c>
    </row>
    <row r="28" ht="17.25" customHeight="1" s="41">
      <c r="A28" s="31" t="n">
        <v>1</v>
      </c>
      <c r="B28" s="31" t="n">
        <v>3</v>
      </c>
      <c r="C28" s="26" t="inlineStr">
        <is>
          <t>B3</t>
        </is>
      </c>
      <c r="D28" s="27" t="inlineStr">
        <is>
          <t>怒る</t>
        </is>
      </c>
      <c r="E28" s="31" t="inlineStr">
        <is>
          <t>反応する</t>
        </is>
      </c>
      <c r="F28" s="31" t="n"/>
      <c r="G28" s="31" t="n">
        <v>3</v>
      </c>
      <c r="H28" s="31" t="n"/>
      <c r="I28" s="32" t="n"/>
      <c r="J28" s="18">
        <f t="array" ref="J28">IFERROR(INDEX('④回収ファイル一覧'!$G$4:$G$11,MATCH(A28&amp;"-"&amp;B28,'④回収ファイル一覧'!$K$4:$K$11,0)),"")</f>
        <v/>
      </c>
      <c r="K28" s="18">
        <f t="array" ref="K28">IFERROR(INDEX('④回収ファイル一覧'!$H$4:$H$11,MATCH(A28&amp;"-"&amp;B28,'④回収ファイル一覧'!$K$4:$K$11,0)),"")</f>
        <v/>
      </c>
      <c r="L28" s="18">
        <f t="array" ref="L28">IFERROR(INDEX('④回収ファイル一覧'!$I$4:$I$11,MATCH(A28&amp;"-"&amp;B28,'④回収ファイル一覧'!$K$4:$K$11,0)),"")</f>
        <v/>
      </c>
      <c r="M28" s="18">
        <f t="array" ref="M28">IFERROR(INDEX('④回収ファイル一覧'!$J$4:$J$11,MATCH(A28&amp;"-"&amp;B28,'④回収ファイル一覧'!$K$4:$K$11,0)),"")</f>
        <v/>
      </c>
    </row>
    <row r="29" ht="33.75" customHeight="1" s="41">
      <c r="A29" s="31" t="n">
        <v>1</v>
      </c>
      <c r="B29" s="31" t="n">
        <v>3</v>
      </c>
      <c r="C29" s="26" t="inlineStr">
        <is>
          <t>B4</t>
        </is>
      </c>
      <c r="D29" s="27" t="inlineStr">
        <is>
          <t>静かに笑う（声量そのまま）</t>
        </is>
      </c>
      <c r="E29" s="31" t="inlineStr">
        <is>
          <t>反応する</t>
        </is>
      </c>
      <c r="F29" s="31" t="n"/>
      <c r="G29" s="31" t="n">
        <v>2</v>
      </c>
      <c r="H29" s="31" t="n"/>
      <c r="I29" s="32" t="n"/>
      <c r="J29" s="18">
        <f t="array" ref="J29">IFERROR(INDEX('④回収ファイル一覧'!$G$4:$G$11,MATCH(A29&amp;"-"&amp;B29,'④回収ファイル一覧'!$K$4:$K$11,0)),"")</f>
        <v/>
      </c>
      <c r="K29" s="18">
        <f t="array" ref="K29">IFERROR(INDEX('④回収ファイル一覧'!$H$4:$H$11,MATCH(A29&amp;"-"&amp;B29,'④回収ファイル一覧'!$K$4:$K$11,0)),"")</f>
        <v/>
      </c>
      <c r="L29" s="18">
        <f t="array" ref="L29">IFERROR(INDEX('④回収ファイル一覧'!$I$4:$I$11,MATCH(A29&amp;"-"&amp;B29,'④回収ファイル一覧'!$K$4:$K$11,0)),"")</f>
        <v/>
      </c>
      <c r="M29" s="18">
        <f t="array" ref="M29">IFERROR(INDEX('④回収ファイル一覧'!$J$4:$J$11,MATCH(A29&amp;"-"&amp;B29,'④回収ファイル一覧'!$K$4:$K$11,0)),"")</f>
        <v/>
      </c>
    </row>
    <row r="30" ht="17.25" customHeight="1" s="41">
      <c r="A30" s="31" t="n">
        <v>1</v>
      </c>
      <c r="B30" s="31" t="n">
        <v>3</v>
      </c>
      <c r="C30" s="26" t="inlineStr">
        <is>
          <t>B5</t>
        </is>
      </c>
      <c r="D30" s="27" t="inlineStr">
        <is>
          <t>ほめ言葉（ふだんの声）</t>
        </is>
      </c>
      <c r="E30" s="31" t="inlineStr">
        <is>
          <t>反応する</t>
        </is>
      </c>
      <c r="F30" s="31" t="n"/>
      <c r="G30" s="31" t="n">
        <v>4</v>
      </c>
      <c r="H30" s="31" t="n"/>
      <c r="I30" s="32" t="n"/>
      <c r="J30" s="18">
        <f t="array" ref="J30">IFERROR(INDEX('④回収ファイル一覧'!$G$4:$G$11,MATCH(A30&amp;"-"&amp;B30,'④回収ファイル一覧'!$K$4:$K$11,0)),"")</f>
        <v/>
      </c>
      <c r="K30" s="18">
        <f t="array" ref="K30">IFERROR(INDEX('④回収ファイル一覧'!$H$4:$H$11,MATCH(A30&amp;"-"&amp;B30,'④回収ファイル一覧'!$K$4:$K$11,0)),"")</f>
        <v/>
      </c>
      <c r="L30" s="18">
        <f t="array" ref="L30">IFERROR(INDEX('④回収ファイル一覧'!$I$4:$I$11,MATCH(A30&amp;"-"&amp;B30,'④回収ファイル一覧'!$K$4:$K$11,0)),"")</f>
        <v/>
      </c>
      <c r="M30" s="18">
        <f t="array" ref="M30">IFERROR(INDEX('④回収ファイル一覧'!$J$4:$J$11,MATCH(A30&amp;"-"&amp;B30,'④回収ファイル一覧'!$K$4:$K$11,0)),"")</f>
        <v/>
      </c>
    </row>
    <row r="31" ht="17.25" customHeight="1" s="41">
      <c r="A31" s="31" t="n">
        <v>1</v>
      </c>
      <c r="B31" s="31" t="n">
        <v>3</v>
      </c>
      <c r="C31" s="26" t="inlineStr">
        <is>
          <t>B6</t>
        </is>
      </c>
      <c r="D31" s="27" t="inlineStr">
        <is>
          <t>感極まる</t>
        </is>
      </c>
      <c r="E31" s="31" t="inlineStr">
        <is>
          <t>反応する</t>
        </is>
      </c>
      <c r="F31" s="31" t="n"/>
      <c r="G31" s="31" t="n">
        <v>4</v>
      </c>
      <c r="H31" s="31" t="n"/>
      <c r="I31" s="32" t="n"/>
      <c r="J31" s="18">
        <f t="array" ref="J31">IFERROR(INDEX('④回収ファイル一覧'!$G$4:$G$11,MATCH(A31&amp;"-"&amp;B31,'④回収ファイル一覧'!$K$4:$K$11,0)),"")</f>
        <v/>
      </c>
      <c r="K31" s="18">
        <f t="array" ref="K31">IFERROR(INDEX('④回収ファイル一覧'!$H$4:$H$11,MATCH(A31&amp;"-"&amp;B31,'④回収ファイル一覧'!$K$4:$K$11,0)),"")</f>
        <v/>
      </c>
      <c r="L31" s="18">
        <f t="array" ref="L31">IFERROR(INDEX('④回収ファイル一覧'!$I$4:$I$11,MATCH(A31&amp;"-"&amp;B31,'④回収ファイル一覧'!$K$4:$K$11,0)),"")</f>
        <v/>
      </c>
      <c r="M31" s="18">
        <f t="array" ref="M31">IFERROR(INDEX('④回収ファイル一覧'!$J$4:$J$11,MATCH(A31&amp;"-"&amp;B31,'④回収ファイル一覧'!$K$4:$K$11,0)),"")</f>
        <v/>
      </c>
    </row>
    <row r="32" ht="17.25" customHeight="1" s="41">
      <c r="A32" s="31" t="n">
        <v>1</v>
      </c>
      <c r="B32" s="31" t="n">
        <v>3</v>
      </c>
      <c r="C32" s="29" t="inlineStr">
        <is>
          <t>C1</t>
        </is>
      </c>
      <c r="D32" s="30" t="inlineStr">
        <is>
          <t>咳・くしゃみ・あくび</t>
        </is>
      </c>
      <c r="E32" s="31" t="inlineStr">
        <is>
          <t>記録のみ</t>
        </is>
      </c>
      <c r="F32" s="31" t="n"/>
      <c r="G32" s="31" t="n">
        <v>2</v>
      </c>
      <c r="H32" s="31" t="n"/>
      <c r="I32" s="32" t="inlineStr">
        <is>
          <t>咳、くしゃみ</t>
        </is>
      </c>
      <c r="J32" s="18">
        <f t="array" ref="J32">IFERROR(INDEX('④回収ファイル一覧'!$G$4:$G$11,MATCH(A32&amp;"-"&amp;B32,'④回収ファイル一覧'!$K$4:$K$11,0)),"")</f>
        <v/>
      </c>
      <c r="K32" s="18">
        <f t="array" ref="K32">IFERROR(INDEX('④回収ファイル一覧'!$H$4:$H$11,MATCH(A32&amp;"-"&amp;B32,'④回収ファイル一覧'!$K$4:$K$11,0)),"")</f>
        <v/>
      </c>
      <c r="L32" s="18">
        <f t="array" ref="L32">IFERROR(INDEX('④回収ファイル一覧'!$I$4:$I$11,MATCH(A32&amp;"-"&amp;B32,'④回収ファイル一覧'!$K$4:$K$11,0)),"")</f>
        <v/>
      </c>
      <c r="M32" s="18">
        <f t="array" ref="M32">IFERROR(INDEX('④回収ファイル一覧'!$J$4:$J$11,MATCH(A32&amp;"-"&amp;B32,'④回収ファイル一覧'!$K$4:$K$11,0)),"")</f>
        <v/>
      </c>
    </row>
    <row r="33" ht="17.25" customHeight="1" s="41">
      <c r="A33" s="31" t="n">
        <v>1</v>
      </c>
      <c r="B33" s="31" t="n">
        <v>3</v>
      </c>
      <c r="C33" s="29" t="inlineStr">
        <is>
          <t>C2</t>
        </is>
      </c>
      <c r="D33" s="30" t="inlineStr">
        <is>
          <t>笑い続ける30秒</t>
        </is>
      </c>
      <c r="E33" s="19" t="inlineStr">
        <is>
          <t>2回以上反応が正解</t>
        </is>
      </c>
      <c r="F33" s="31" t="n"/>
      <c r="G33" s="31" t="n">
        <v>5</v>
      </c>
      <c r="H33" s="31" t="n"/>
      <c r="I33" s="32" t="n"/>
      <c r="J33" s="18">
        <f t="array" ref="J33">IFERROR(INDEX('④回収ファイル一覧'!$G$4:$G$11,MATCH(A33&amp;"-"&amp;B33,'④回収ファイル一覧'!$K$4:$K$11,0)),"")</f>
        <v/>
      </c>
      <c r="K33" s="18">
        <f t="array" ref="K33">IFERROR(INDEX('④回収ファイル一覧'!$H$4:$H$11,MATCH(A33&amp;"-"&amp;B33,'④回収ファイル一覧'!$K$4:$K$11,0)),"")</f>
        <v/>
      </c>
      <c r="L33" s="18">
        <f t="array" ref="L33">IFERROR(INDEX('④回収ファイル一覧'!$I$4:$I$11,MATCH(A33&amp;"-"&amp;B33,'④回収ファイル一覧'!$K$4:$K$11,0)),"")</f>
        <v/>
      </c>
      <c r="M33" s="18">
        <f t="array" ref="M33">IFERROR(INDEX('④回収ファイル一覧'!$J$4:$J$11,MATCH(A33&amp;"-"&amp;B33,'④回収ファイル一覧'!$K$4:$K$11,0)),"")</f>
        <v/>
      </c>
    </row>
    <row r="34" ht="33.75" customHeight="1" s="41">
      <c r="A34" s="31" t="n">
        <v>1</v>
      </c>
      <c r="B34" s="31" t="n">
        <v>3</v>
      </c>
      <c r="C34" s="29" t="inlineStr">
        <is>
          <t>C3</t>
        </is>
      </c>
      <c r="D34" s="30" t="inlineStr">
        <is>
          <t>家族側が大声（テスター無言）</t>
        </is>
      </c>
      <c r="E34" s="31" t="inlineStr">
        <is>
          <t>記録のみ</t>
        </is>
      </c>
      <c r="F34" s="31" t="n"/>
      <c r="G34" s="31" t="n">
        <v>3</v>
      </c>
      <c r="H34" s="31" t="n"/>
      <c r="I34" s="32" t="n"/>
      <c r="J34" s="18">
        <f t="array" ref="J34">IFERROR(INDEX('④回収ファイル一覧'!$G$4:$G$11,MATCH(A34&amp;"-"&amp;B34,'④回収ファイル一覧'!$K$4:$K$11,0)),"")</f>
        <v/>
      </c>
      <c r="K34" s="18">
        <f t="array" ref="K34">IFERROR(INDEX('④回収ファイル一覧'!$H$4:$H$11,MATCH(A34&amp;"-"&amp;B34,'④回収ファイル一覧'!$K$4:$K$11,0)),"")</f>
        <v/>
      </c>
      <c r="L34" s="18">
        <f t="array" ref="L34">IFERROR(INDEX('④回収ファイル一覧'!$I$4:$I$11,MATCH(A34&amp;"-"&amp;B34,'④回収ファイル一覧'!$K$4:$K$11,0)),"")</f>
        <v/>
      </c>
      <c r="M34" s="18">
        <f t="array" ref="M34">IFERROR(INDEX('④回収ファイル一覧'!$J$4:$J$11,MATCH(A34&amp;"-"&amp;B34,'④回収ファイル一覧'!$K$4:$K$11,0)),"")</f>
        <v/>
      </c>
    </row>
    <row r="35" ht="17.25" customHeight="1" s="41">
      <c r="A35" s="31" t="n">
        <v>2</v>
      </c>
      <c r="B35" s="31" t="n">
        <v>1</v>
      </c>
      <c r="C35" s="20" t="inlineStr">
        <is>
          <t>A1</t>
        </is>
      </c>
      <c r="D35" s="21" t="inlineStr">
        <is>
          <t>静かにする</t>
        </is>
      </c>
      <c r="E35" s="31" t="inlineStr">
        <is>
          <t>反応しない</t>
        </is>
      </c>
      <c r="F35" s="31" t="n"/>
      <c r="G35" s="31" t="n"/>
      <c r="H35" s="31" t="n"/>
      <c r="I35" s="32" t="n"/>
      <c r="J35" s="18">
        <f t="array" ref="J35">IFERROR(INDEX('④回収ファイル一覧'!$G$4:$G$11,MATCH(A35&amp;"-"&amp;B35,'④回収ファイル一覧'!$K$4:$K$11,0)),"")</f>
        <v/>
      </c>
      <c r="K35" s="18">
        <f t="array" ref="K35">IFERROR(INDEX('④回収ファイル一覧'!$H$4:$H$11,MATCH(A35&amp;"-"&amp;B35,'④回収ファイル一覧'!$K$4:$K$11,0)),"")</f>
        <v/>
      </c>
      <c r="L35" s="18">
        <f t="array" ref="L35">IFERROR(INDEX('④回収ファイル一覧'!$I$4:$I$11,MATCH(A35&amp;"-"&amp;B35,'④回収ファイル一覧'!$K$4:$K$11,0)),"")</f>
        <v/>
      </c>
      <c r="M35" s="18">
        <f t="array" ref="M35">IFERROR(INDEX('④回収ファイル一覧'!$J$4:$J$11,MATCH(A35&amp;"-"&amp;B35,'④回収ファイル一覧'!$K$4:$K$11,0)),"")</f>
        <v/>
      </c>
    </row>
    <row r="36" ht="17.25" customHeight="1" s="41">
      <c r="A36" s="31" t="n">
        <v>2</v>
      </c>
      <c r="B36" s="31" t="n">
        <v>1</v>
      </c>
      <c r="C36" s="20" t="inlineStr">
        <is>
          <t>A2</t>
        </is>
      </c>
      <c r="D36" s="21" t="inlineStr">
        <is>
          <t>ふつうの雑談（10分）</t>
        </is>
      </c>
      <c r="E36" s="31" t="inlineStr">
        <is>
          <t>反応しない</t>
        </is>
      </c>
      <c r="F36" s="31" t="n"/>
      <c r="G36" s="31" t="n"/>
      <c r="H36" s="31" t="n"/>
      <c r="I36" s="32" t="n"/>
      <c r="J36" s="18">
        <f t="array" ref="J36">IFERROR(INDEX('④回収ファイル一覧'!$G$4:$G$11,MATCH(A36&amp;"-"&amp;B36,'④回収ファイル一覧'!$K$4:$K$11,0)),"")</f>
        <v/>
      </c>
      <c r="K36" s="18">
        <f t="array" ref="K36">IFERROR(INDEX('④回収ファイル一覧'!$H$4:$H$11,MATCH(A36&amp;"-"&amp;B36,'④回収ファイル一覧'!$K$4:$K$11,0)),"")</f>
        <v/>
      </c>
      <c r="L36" s="18">
        <f t="array" ref="L36">IFERROR(INDEX('④回収ファイル一覧'!$I$4:$I$11,MATCH(A36&amp;"-"&amp;B36,'④回収ファイル一覧'!$K$4:$K$11,0)),"")</f>
        <v/>
      </c>
      <c r="M36" s="18">
        <f t="array" ref="M36">IFERROR(INDEX('④回収ファイル一覧'!$J$4:$J$11,MATCH(A36&amp;"-"&amp;B36,'④回収ファイル一覧'!$K$4:$K$11,0)),"")</f>
        <v/>
      </c>
    </row>
    <row r="37" ht="17.25" customHeight="1" s="41">
      <c r="A37" s="31" t="n">
        <v>2</v>
      </c>
      <c r="B37" s="31" t="n">
        <v>1</v>
      </c>
      <c r="C37" s="20" t="inlineStr">
        <is>
          <t>A3</t>
        </is>
      </c>
      <c r="D37" s="21" t="inlineStr">
        <is>
          <t>本を読む</t>
        </is>
      </c>
      <c r="E37" s="31" t="inlineStr">
        <is>
          <t>反応しない</t>
        </is>
      </c>
      <c r="F37" s="31" t="n"/>
      <c r="G37" s="31" t="n"/>
      <c r="H37" s="31" t="n"/>
      <c r="I37" s="32" t="n"/>
      <c r="J37" s="18">
        <f t="array" ref="J37">IFERROR(INDEX('④回収ファイル一覧'!$G$4:$G$11,MATCH(A37&amp;"-"&amp;B37,'④回収ファイル一覧'!$K$4:$K$11,0)),"")</f>
        <v/>
      </c>
      <c r="K37" s="18">
        <f t="array" ref="K37">IFERROR(INDEX('④回収ファイル一覧'!$H$4:$H$11,MATCH(A37&amp;"-"&amp;B37,'④回収ファイル一覧'!$K$4:$K$11,0)),"")</f>
        <v/>
      </c>
      <c r="L37" s="18">
        <f t="array" ref="L37">IFERROR(INDEX('④回収ファイル一覧'!$I$4:$I$11,MATCH(A37&amp;"-"&amp;B37,'④回収ファイル一覧'!$K$4:$K$11,0)),"")</f>
        <v/>
      </c>
      <c r="M37" s="18">
        <f t="array" ref="M37">IFERROR(INDEX('④回収ファイル一覧'!$J$4:$J$11,MATCH(A37&amp;"-"&amp;B37,'④回収ファイル一覧'!$K$4:$K$11,0)),"")</f>
        <v/>
      </c>
    </row>
    <row r="38" ht="17.25" customHeight="1" s="41">
      <c r="A38" s="31" t="n">
        <v>2</v>
      </c>
      <c r="B38" s="31" t="n">
        <v>1</v>
      </c>
      <c r="C38" s="20" t="inlineStr">
        <is>
          <t>A4</t>
        </is>
      </c>
      <c r="D38" s="21" t="inlineStr">
        <is>
          <t>生活音を出す</t>
        </is>
      </c>
      <c r="E38" s="31" t="inlineStr">
        <is>
          <t>反応しない</t>
        </is>
      </c>
      <c r="F38" s="31" t="n"/>
      <c r="G38" s="31" t="n"/>
      <c r="H38" s="31" t="n"/>
      <c r="I38" s="32" t="n"/>
      <c r="J38" s="18">
        <f t="array" ref="J38">IFERROR(INDEX('④回収ファイル一覧'!$G$4:$G$11,MATCH(A38&amp;"-"&amp;B38,'④回収ファイル一覧'!$K$4:$K$11,0)),"")</f>
        <v/>
      </c>
      <c r="K38" s="18">
        <f t="array" ref="K38">IFERROR(INDEX('④回収ファイル一覧'!$H$4:$H$11,MATCH(A38&amp;"-"&amp;B38,'④回収ファイル一覧'!$K$4:$K$11,0)),"")</f>
        <v/>
      </c>
      <c r="L38" s="18">
        <f t="array" ref="L38">IFERROR(INDEX('④回収ファイル一覧'!$I$4:$I$11,MATCH(A38&amp;"-"&amp;B38,'④回収ファイル一覧'!$K$4:$K$11,0)),"")</f>
        <v/>
      </c>
      <c r="M38" s="18">
        <f t="array" ref="M38">IFERROR(INDEX('④回収ファイル一覧'!$J$4:$J$11,MATCH(A38&amp;"-"&amp;B38,'④回収ファイル一覧'!$K$4:$K$11,0)),"")</f>
        <v/>
      </c>
    </row>
    <row r="39" ht="33.75" customHeight="1" s="41">
      <c r="A39" s="31" t="n">
        <v>2</v>
      </c>
      <c r="B39" s="31" t="n">
        <v>1</v>
      </c>
      <c r="C39" s="20" t="inlineStr">
        <is>
          <t>A5</t>
        </is>
      </c>
      <c r="D39" s="21" t="inlineStr">
        <is>
          <t>最初のあいさつ（かけ直し）</t>
        </is>
      </c>
      <c r="E39" s="31" t="inlineStr">
        <is>
          <t>反応しない</t>
        </is>
      </c>
      <c r="F39" s="31" t="n"/>
      <c r="G39" s="31" t="n"/>
      <c r="H39" s="31" t="n"/>
      <c r="I39" s="32" t="n"/>
      <c r="J39" s="18">
        <f t="array" ref="J39">IFERROR(INDEX('④回収ファイル一覧'!$G$4:$G$11,MATCH(A39&amp;"-"&amp;B39,'④回収ファイル一覧'!$K$4:$K$11,0)),"")</f>
        <v/>
      </c>
      <c r="K39" s="18">
        <f t="array" ref="K39">IFERROR(INDEX('④回収ファイル一覧'!$H$4:$H$11,MATCH(A39&amp;"-"&amp;B39,'④回収ファイル一覧'!$K$4:$K$11,0)),"")</f>
        <v/>
      </c>
      <c r="L39" s="18">
        <f t="array" ref="L39">IFERROR(INDEX('④回収ファイル一覧'!$I$4:$I$11,MATCH(A39&amp;"-"&amp;B39,'④回収ファイル一覧'!$K$4:$K$11,0)),"")</f>
        <v/>
      </c>
      <c r="M39" s="18">
        <f t="array" ref="M39">IFERROR(INDEX('④回収ファイル一覧'!$J$4:$J$11,MATCH(A39&amp;"-"&amp;B39,'④回収ファイル一覧'!$K$4:$K$11,0)),"")</f>
        <v/>
      </c>
    </row>
    <row r="40" ht="17.25" customHeight="1" s="41">
      <c r="A40" s="31" t="n">
        <v>2</v>
      </c>
      <c r="B40" s="31" t="n">
        <v>1</v>
      </c>
      <c r="C40" s="20" t="inlineStr">
        <is>
          <t>A6</t>
        </is>
      </c>
      <c r="D40" s="21" t="inlineStr">
        <is>
          <t>立って戻る</t>
        </is>
      </c>
      <c r="E40" s="31" t="inlineStr">
        <is>
          <t>反応しない</t>
        </is>
      </c>
      <c r="F40" s="31" t="n"/>
      <c r="G40" s="31" t="n"/>
      <c r="H40" s="31" t="n"/>
      <c r="I40" s="32" t="n"/>
      <c r="J40" s="18">
        <f t="array" ref="J40">IFERROR(INDEX('④回収ファイル一覧'!$G$4:$G$11,MATCH(A40&amp;"-"&amp;B40,'④回収ファイル一覧'!$K$4:$K$11,0)),"")</f>
        <v/>
      </c>
      <c r="K40" s="18">
        <f t="array" ref="K40">IFERROR(INDEX('④回収ファイル一覧'!$H$4:$H$11,MATCH(A40&amp;"-"&amp;B40,'④回収ファイル一覧'!$K$4:$K$11,0)),"")</f>
        <v/>
      </c>
      <c r="L40" s="18">
        <f t="array" ref="L40">IFERROR(INDEX('④回収ファイル一覧'!$I$4:$I$11,MATCH(A40&amp;"-"&amp;B40,'④回収ファイル一覧'!$K$4:$K$11,0)),"")</f>
        <v/>
      </c>
      <c r="M40" s="18">
        <f t="array" ref="M40">IFERROR(INDEX('④回収ファイル一覧'!$J$4:$J$11,MATCH(A40&amp;"-"&amp;B40,'④回収ファイル一覧'!$K$4:$K$11,0)),"")</f>
        <v/>
      </c>
    </row>
    <row r="41" ht="17.25" customHeight="1" s="41">
      <c r="A41" s="31" t="n">
        <v>2</v>
      </c>
      <c r="B41" s="31" t="n">
        <v>1</v>
      </c>
      <c r="C41" s="26" t="inlineStr">
        <is>
          <t>B1</t>
        </is>
      </c>
      <c r="D41" s="27" t="inlineStr">
        <is>
          <t>声を出して笑う</t>
        </is>
      </c>
      <c r="E41" s="31" t="inlineStr">
        <is>
          <t>反応する</t>
        </is>
      </c>
      <c r="F41" s="31" t="n"/>
      <c r="G41" s="31" t="n"/>
      <c r="H41" s="31" t="n"/>
      <c r="I41" s="32" t="n"/>
      <c r="J41" s="18">
        <f t="array" ref="J41">IFERROR(INDEX('④回収ファイル一覧'!$G$4:$G$11,MATCH(A41&amp;"-"&amp;B41,'④回収ファイル一覧'!$K$4:$K$11,0)),"")</f>
        <v/>
      </c>
      <c r="K41" s="18">
        <f t="array" ref="K41">IFERROR(INDEX('④回収ファイル一覧'!$H$4:$H$11,MATCH(A41&amp;"-"&amp;B41,'④回収ファイル一覧'!$K$4:$K$11,0)),"")</f>
        <v/>
      </c>
      <c r="L41" s="18">
        <f t="array" ref="L41">IFERROR(INDEX('④回収ファイル一覧'!$I$4:$I$11,MATCH(A41&amp;"-"&amp;B41,'④回収ファイル一覧'!$K$4:$K$11,0)),"")</f>
        <v/>
      </c>
      <c r="M41" s="18">
        <f t="array" ref="M41">IFERROR(INDEX('④回収ファイル一覧'!$J$4:$J$11,MATCH(A41&amp;"-"&amp;B41,'④回収ファイル一覧'!$K$4:$K$11,0)),"")</f>
        <v/>
      </c>
    </row>
    <row r="42" ht="17.25" customHeight="1" s="41">
      <c r="A42" s="31" t="n">
        <v>2</v>
      </c>
      <c r="B42" s="31" t="n">
        <v>1</v>
      </c>
      <c r="C42" s="26" t="inlineStr">
        <is>
          <t>B2</t>
        </is>
      </c>
      <c r="D42" s="27" t="inlineStr">
        <is>
          <t>驚く</t>
        </is>
      </c>
      <c r="E42" s="31" t="inlineStr">
        <is>
          <t>反応する</t>
        </is>
      </c>
      <c r="F42" s="31" t="n"/>
      <c r="G42" s="31" t="n"/>
      <c r="H42" s="31" t="n"/>
      <c r="I42" s="32" t="n"/>
      <c r="J42" s="18">
        <f t="array" ref="J42">IFERROR(INDEX('④回収ファイル一覧'!$G$4:$G$11,MATCH(A42&amp;"-"&amp;B42,'④回収ファイル一覧'!$K$4:$K$11,0)),"")</f>
        <v/>
      </c>
      <c r="K42" s="18">
        <f t="array" ref="K42">IFERROR(INDEX('④回収ファイル一覧'!$H$4:$H$11,MATCH(A42&amp;"-"&amp;B42,'④回収ファイル一覧'!$K$4:$K$11,0)),"")</f>
        <v/>
      </c>
      <c r="L42" s="18">
        <f t="array" ref="L42">IFERROR(INDEX('④回収ファイル一覧'!$I$4:$I$11,MATCH(A42&amp;"-"&amp;B42,'④回収ファイル一覧'!$K$4:$K$11,0)),"")</f>
        <v/>
      </c>
      <c r="M42" s="18">
        <f t="array" ref="M42">IFERROR(INDEX('④回収ファイル一覧'!$J$4:$J$11,MATCH(A42&amp;"-"&amp;B42,'④回収ファイル一覧'!$K$4:$K$11,0)),"")</f>
        <v/>
      </c>
    </row>
    <row r="43" ht="17.25" customHeight="1" s="41">
      <c r="A43" s="31" t="n">
        <v>2</v>
      </c>
      <c r="B43" s="31" t="n">
        <v>1</v>
      </c>
      <c r="C43" s="26" t="inlineStr">
        <is>
          <t>B3</t>
        </is>
      </c>
      <c r="D43" s="27" t="inlineStr">
        <is>
          <t>怒る</t>
        </is>
      </c>
      <c r="E43" s="31" t="inlineStr">
        <is>
          <t>反応する</t>
        </is>
      </c>
      <c r="F43" s="31" t="n"/>
      <c r="G43" s="31" t="n"/>
      <c r="H43" s="31" t="n"/>
      <c r="I43" s="32" t="n"/>
      <c r="J43" s="18">
        <f t="array" ref="J43">IFERROR(INDEX('④回収ファイル一覧'!$G$4:$G$11,MATCH(A43&amp;"-"&amp;B43,'④回収ファイル一覧'!$K$4:$K$11,0)),"")</f>
        <v/>
      </c>
      <c r="K43" s="18">
        <f t="array" ref="K43">IFERROR(INDEX('④回収ファイル一覧'!$H$4:$H$11,MATCH(A43&amp;"-"&amp;B43,'④回収ファイル一覧'!$K$4:$K$11,0)),"")</f>
        <v/>
      </c>
      <c r="L43" s="18">
        <f t="array" ref="L43">IFERROR(INDEX('④回収ファイル一覧'!$I$4:$I$11,MATCH(A43&amp;"-"&amp;B43,'④回収ファイル一覧'!$K$4:$K$11,0)),"")</f>
        <v/>
      </c>
      <c r="M43" s="18">
        <f t="array" ref="M43">IFERROR(INDEX('④回収ファイル一覧'!$J$4:$J$11,MATCH(A43&amp;"-"&amp;B43,'④回収ファイル一覧'!$K$4:$K$11,0)),"")</f>
        <v/>
      </c>
    </row>
    <row r="44" ht="33.75" customHeight="1" s="41">
      <c r="A44" s="31" t="n">
        <v>2</v>
      </c>
      <c r="B44" s="31" t="n">
        <v>1</v>
      </c>
      <c r="C44" s="26" t="inlineStr">
        <is>
          <t>B4</t>
        </is>
      </c>
      <c r="D44" s="27" t="inlineStr">
        <is>
          <t>静かに笑う（声量そのまま）</t>
        </is>
      </c>
      <c r="E44" s="31" t="inlineStr">
        <is>
          <t>反応する</t>
        </is>
      </c>
      <c r="F44" s="31" t="n"/>
      <c r="G44" s="31" t="n"/>
      <c r="H44" s="31" t="n"/>
      <c r="I44" s="32" t="n"/>
      <c r="J44" s="18">
        <f t="array" ref="J44">IFERROR(INDEX('④回収ファイル一覧'!$G$4:$G$11,MATCH(A44&amp;"-"&amp;B44,'④回収ファイル一覧'!$K$4:$K$11,0)),"")</f>
        <v/>
      </c>
      <c r="K44" s="18">
        <f t="array" ref="K44">IFERROR(INDEX('④回収ファイル一覧'!$H$4:$H$11,MATCH(A44&amp;"-"&amp;B44,'④回収ファイル一覧'!$K$4:$K$11,0)),"")</f>
        <v/>
      </c>
      <c r="L44" s="18">
        <f t="array" ref="L44">IFERROR(INDEX('④回収ファイル一覧'!$I$4:$I$11,MATCH(A44&amp;"-"&amp;B44,'④回収ファイル一覧'!$K$4:$K$11,0)),"")</f>
        <v/>
      </c>
      <c r="M44" s="18">
        <f t="array" ref="M44">IFERROR(INDEX('④回収ファイル一覧'!$J$4:$J$11,MATCH(A44&amp;"-"&amp;B44,'④回収ファイル一覧'!$K$4:$K$11,0)),"")</f>
        <v/>
      </c>
    </row>
    <row r="45" ht="17.25" customHeight="1" s="41">
      <c r="A45" s="31" t="n">
        <v>2</v>
      </c>
      <c r="B45" s="31" t="n">
        <v>1</v>
      </c>
      <c r="C45" s="26" t="inlineStr">
        <is>
          <t>B5</t>
        </is>
      </c>
      <c r="D45" s="27" t="inlineStr">
        <is>
          <t>ほめ言葉（ふだんの声）</t>
        </is>
      </c>
      <c r="E45" s="31" t="inlineStr">
        <is>
          <t>反応する</t>
        </is>
      </c>
      <c r="F45" s="31" t="n"/>
      <c r="G45" s="31" t="n"/>
      <c r="H45" s="31" t="n"/>
      <c r="I45" s="32" t="n"/>
      <c r="J45" s="18">
        <f t="array" ref="J45">IFERROR(INDEX('④回収ファイル一覧'!$G$4:$G$11,MATCH(A45&amp;"-"&amp;B45,'④回収ファイル一覧'!$K$4:$K$11,0)),"")</f>
        <v/>
      </c>
      <c r="K45" s="18">
        <f t="array" ref="K45">IFERROR(INDEX('④回収ファイル一覧'!$H$4:$H$11,MATCH(A45&amp;"-"&amp;B45,'④回収ファイル一覧'!$K$4:$K$11,0)),"")</f>
        <v/>
      </c>
      <c r="L45" s="18">
        <f t="array" ref="L45">IFERROR(INDEX('④回収ファイル一覧'!$I$4:$I$11,MATCH(A45&amp;"-"&amp;B45,'④回収ファイル一覧'!$K$4:$K$11,0)),"")</f>
        <v/>
      </c>
      <c r="M45" s="18">
        <f t="array" ref="M45">IFERROR(INDEX('④回収ファイル一覧'!$J$4:$J$11,MATCH(A45&amp;"-"&amp;B45,'④回収ファイル一覧'!$K$4:$K$11,0)),"")</f>
        <v/>
      </c>
    </row>
    <row r="46" ht="17.25" customHeight="1" s="41">
      <c r="A46" s="31" t="n">
        <v>2</v>
      </c>
      <c r="B46" s="31" t="n">
        <v>1</v>
      </c>
      <c r="C46" s="26" t="inlineStr">
        <is>
          <t>B6</t>
        </is>
      </c>
      <c r="D46" s="27" t="inlineStr">
        <is>
          <t>感極まる</t>
        </is>
      </c>
      <c r="E46" s="31" t="inlineStr">
        <is>
          <t>反応する</t>
        </is>
      </c>
      <c r="F46" s="31" t="n"/>
      <c r="G46" s="31" t="n"/>
      <c r="H46" s="31" t="n"/>
      <c r="I46" s="32" t="n"/>
      <c r="J46" s="18">
        <f t="array" ref="J46">IFERROR(INDEX('④回収ファイル一覧'!$G$4:$G$11,MATCH(A46&amp;"-"&amp;B46,'④回収ファイル一覧'!$K$4:$K$11,0)),"")</f>
        <v/>
      </c>
      <c r="K46" s="18">
        <f t="array" ref="K46">IFERROR(INDEX('④回収ファイル一覧'!$H$4:$H$11,MATCH(A46&amp;"-"&amp;B46,'④回収ファイル一覧'!$K$4:$K$11,0)),"")</f>
        <v/>
      </c>
      <c r="L46" s="18">
        <f t="array" ref="L46">IFERROR(INDEX('④回収ファイル一覧'!$I$4:$I$11,MATCH(A46&amp;"-"&amp;B46,'④回収ファイル一覧'!$K$4:$K$11,0)),"")</f>
        <v/>
      </c>
      <c r="M46" s="18">
        <f t="array" ref="M46">IFERROR(INDEX('④回収ファイル一覧'!$J$4:$J$11,MATCH(A46&amp;"-"&amp;B46,'④回収ファイル一覧'!$K$4:$K$11,0)),"")</f>
        <v/>
      </c>
    </row>
    <row r="47" ht="17.25" customHeight="1" s="41">
      <c r="A47" s="31" t="n">
        <v>2</v>
      </c>
      <c r="B47" s="31" t="n">
        <v>1</v>
      </c>
      <c r="C47" s="29" t="inlineStr">
        <is>
          <t>C1</t>
        </is>
      </c>
      <c r="D47" s="30" t="inlineStr">
        <is>
          <t>咳・くしゃみ・あくび</t>
        </is>
      </c>
      <c r="E47" s="31" t="inlineStr">
        <is>
          <t>記録のみ</t>
        </is>
      </c>
      <c r="F47" s="31" t="n"/>
      <c r="G47" s="31" t="n"/>
      <c r="H47" s="31" t="n"/>
      <c r="I47" s="32" t="n"/>
      <c r="J47" s="18">
        <f t="array" ref="J47">IFERROR(INDEX('④回収ファイル一覧'!$G$4:$G$11,MATCH(A47&amp;"-"&amp;B47,'④回収ファイル一覧'!$K$4:$K$11,0)),"")</f>
        <v/>
      </c>
      <c r="K47" s="18">
        <f t="array" ref="K47">IFERROR(INDEX('④回収ファイル一覧'!$H$4:$H$11,MATCH(A47&amp;"-"&amp;B47,'④回収ファイル一覧'!$K$4:$K$11,0)),"")</f>
        <v/>
      </c>
      <c r="L47" s="18">
        <f t="array" ref="L47">IFERROR(INDEX('④回収ファイル一覧'!$I$4:$I$11,MATCH(A47&amp;"-"&amp;B47,'④回収ファイル一覧'!$K$4:$K$11,0)),"")</f>
        <v/>
      </c>
      <c r="M47" s="18">
        <f t="array" ref="M47">IFERROR(INDEX('④回収ファイル一覧'!$J$4:$J$11,MATCH(A47&amp;"-"&amp;B47,'④回収ファイル一覧'!$K$4:$K$11,0)),"")</f>
        <v/>
      </c>
    </row>
    <row r="48" ht="17.25" customHeight="1" s="41">
      <c r="A48" s="31" t="n">
        <v>2</v>
      </c>
      <c r="B48" s="31" t="n">
        <v>1</v>
      </c>
      <c r="C48" s="29" t="inlineStr">
        <is>
          <t>C2</t>
        </is>
      </c>
      <c r="D48" s="30" t="inlineStr">
        <is>
          <t>笑い続ける30秒</t>
        </is>
      </c>
      <c r="E48" s="19" t="inlineStr">
        <is>
          <t>2回以上反応が正解</t>
        </is>
      </c>
      <c r="F48" s="31" t="n"/>
      <c r="G48" s="31" t="n"/>
      <c r="H48" s="31" t="n"/>
      <c r="I48" s="32" t="n"/>
      <c r="J48" s="18">
        <f t="array" ref="J48">IFERROR(INDEX('④回収ファイル一覧'!$G$4:$G$11,MATCH(A48&amp;"-"&amp;B48,'④回収ファイル一覧'!$K$4:$K$11,0)),"")</f>
        <v/>
      </c>
      <c r="K48" s="18">
        <f t="array" ref="K48">IFERROR(INDEX('④回収ファイル一覧'!$H$4:$H$11,MATCH(A48&amp;"-"&amp;B48,'④回収ファイル一覧'!$K$4:$K$11,0)),"")</f>
        <v/>
      </c>
      <c r="L48" s="18">
        <f t="array" ref="L48">IFERROR(INDEX('④回収ファイル一覧'!$I$4:$I$11,MATCH(A48&amp;"-"&amp;B48,'④回収ファイル一覧'!$K$4:$K$11,0)),"")</f>
        <v/>
      </c>
      <c r="M48" s="18">
        <f t="array" ref="M48">IFERROR(INDEX('④回収ファイル一覧'!$J$4:$J$11,MATCH(A48&amp;"-"&amp;B48,'④回収ファイル一覧'!$K$4:$K$11,0)),"")</f>
        <v/>
      </c>
    </row>
    <row r="49" ht="33.75" customHeight="1" s="41">
      <c r="A49" s="31" t="n">
        <v>2</v>
      </c>
      <c r="B49" s="31" t="n">
        <v>1</v>
      </c>
      <c r="C49" s="29" t="inlineStr">
        <is>
          <t>C3</t>
        </is>
      </c>
      <c r="D49" s="30" t="inlineStr">
        <is>
          <t>家族側が大声（テスター無言）</t>
        </is>
      </c>
      <c r="E49" s="31" t="inlineStr">
        <is>
          <t>記録のみ</t>
        </is>
      </c>
      <c r="F49" s="31" t="n"/>
      <c r="G49" s="31" t="n"/>
      <c r="H49" s="31" t="n"/>
      <c r="I49" s="32" t="n"/>
      <c r="J49" s="18">
        <f t="array" ref="J49">IFERROR(INDEX('④回収ファイル一覧'!$G$4:$G$11,MATCH(A49&amp;"-"&amp;B49,'④回収ファイル一覧'!$K$4:$K$11,0)),"")</f>
        <v/>
      </c>
      <c r="K49" s="18">
        <f t="array" ref="K49">IFERROR(INDEX('④回収ファイル一覧'!$H$4:$H$11,MATCH(A49&amp;"-"&amp;B49,'④回収ファイル一覧'!$K$4:$K$11,0)),"")</f>
        <v/>
      </c>
      <c r="L49" s="18">
        <f t="array" ref="L49">IFERROR(INDEX('④回収ファイル一覧'!$I$4:$I$11,MATCH(A49&amp;"-"&amp;B49,'④回収ファイル一覧'!$K$4:$K$11,0)),"")</f>
        <v/>
      </c>
      <c r="M49" s="18">
        <f t="array" ref="M49">IFERROR(INDEX('④回収ファイル一覧'!$J$4:$J$11,MATCH(A49&amp;"-"&amp;B49,'④回収ファイル一覧'!$K$4:$K$11,0)),"")</f>
        <v/>
      </c>
    </row>
    <row r="50" ht="17.25" customHeight="1" s="41">
      <c r="A50" s="31" t="n">
        <v>2</v>
      </c>
      <c r="B50" s="31" t="n">
        <v>2</v>
      </c>
      <c r="C50" s="20" t="inlineStr">
        <is>
          <t>A1</t>
        </is>
      </c>
      <c r="D50" s="21" t="inlineStr">
        <is>
          <t>静かにする</t>
        </is>
      </c>
      <c r="E50" s="31" t="inlineStr">
        <is>
          <t>反応しない</t>
        </is>
      </c>
      <c r="F50" s="31" t="n"/>
      <c r="G50" s="31" t="n"/>
      <c r="H50" s="31" t="n"/>
      <c r="I50" s="32" t="n"/>
      <c r="J50" s="18">
        <f t="array" ref="J50">IFERROR(INDEX('④回収ファイル一覧'!$G$4:$G$11,MATCH(A50&amp;"-"&amp;B50,'④回収ファイル一覧'!$K$4:$K$11,0)),"")</f>
        <v/>
      </c>
      <c r="K50" s="18">
        <f t="array" ref="K50">IFERROR(INDEX('④回収ファイル一覧'!$H$4:$H$11,MATCH(A50&amp;"-"&amp;B50,'④回収ファイル一覧'!$K$4:$K$11,0)),"")</f>
        <v/>
      </c>
      <c r="L50" s="18">
        <f t="array" ref="L50">IFERROR(INDEX('④回収ファイル一覧'!$I$4:$I$11,MATCH(A50&amp;"-"&amp;B50,'④回収ファイル一覧'!$K$4:$K$11,0)),"")</f>
        <v/>
      </c>
      <c r="M50" s="18">
        <f t="array" ref="M50">IFERROR(INDEX('④回収ファイル一覧'!$J$4:$J$11,MATCH(A50&amp;"-"&amp;B50,'④回収ファイル一覧'!$K$4:$K$11,0)),"")</f>
        <v/>
      </c>
    </row>
    <row r="51" ht="17.25" customHeight="1" s="41">
      <c r="A51" s="31" t="n">
        <v>2</v>
      </c>
      <c r="B51" s="31" t="n">
        <v>2</v>
      </c>
      <c r="C51" s="20" t="inlineStr">
        <is>
          <t>A2</t>
        </is>
      </c>
      <c r="D51" s="21" t="inlineStr">
        <is>
          <t>ふつうの雑談（10分）</t>
        </is>
      </c>
      <c r="E51" s="31" t="inlineStr">
        <is>
          <t>反応しない</t>
        </is>
      </c>
      <c r="F51" s="31" t="n"/>
      <c r="G51" s="31" t="n"/>
      <c r="H51" s="31" t="n"/>
      <c r="I51" s="32" t="n"/>
      <c r="J51" s="18">
        <f t="array" ref="J51">IFERROR(INDEX('④回収ファイル一覧'!$G$4:$G$11,MATCH(A51&amp;"-"&amp;B51,'④回収ファイル一覧'!$K$4:$K$11,0)),"")</f>
        <v/>
      </c>
      <c r="K51" s="18">
        <f t="array" ref="K51">IFERROR(INDEX('④回収ファイル一覧'!$H$4:$H$11,MATCH(A51&amp;"-"&amp;B51,'④回収ファイル一覧'!$K$4:$K$11,0)),"")</f>
        <v/>
      </c>
      <c r="L51" s="18">
        <f t="array" ref="L51">IFERROR(INDEX('④回収ファイル一覧'!$I$4:$I$11,MATCH(A51&amp;"-"&amp;B51,'④回収ファイル一覧'!$K$4:$K$11,0)),"")</f>
        <v/>
      </c>
      <c r="M51" s="18">
        <f t="array" ref="M51">IFERROR(INDEX('④回収ファイル一覧'!$J$4:$J$11,MATCH(A51&amp;"-"&amp;B51,'④回収ファイル一覧'!$K$4:$K$11,0)),"")</f>
        <v/>
      </c>
    </row>
    <row r="52" ht="17.25" customHeight="1" s="41">
      <c r="A52" s="31" t="n">
        <v>2</v>
      </c>
      <c r="B52" s="31" t="n">
        <v>2</v>
      </c>
      <c r="C52" s="20" t="inlineStr">
        <is>
          <t>A3</t>
        </is>
      </c>
      <c r="D52" s="21" t="inlineStr">
        <is>
          <t>本を読む</t>
        </is>
      </c>
      <c r="E52" s="31" t="inlineStr">
        <is>
          <t>反応しない</t>
        </is>
      </c>
      <c r="F52" s="31" t="n"/>
      <c r="G52" s="31" t="n"/>
      <c r="H52" s="31" t="n"/>
      <c r="I52" s="32" t="n"/>
      <c r="J52" s="18">
        <f t="array" ref="J52">IFERROR(INDEX('④回収ファイル一覧'!$G$4:$G$11,MATCH(A52&amp;"-"&amp;B52,'④回収ファイル一覧'!$K$4:$K$11,0)),"")</f>
        <v/>
      </c>
      <c r="K52" s="18">
        <f t="array" ref="K52">IFERROR(INDEX('④回収ファイル一覧'!$H$4:$H$11,MATCH(A52&amp;"-"&amp;B52,'④回収ファイル一覧'!$K$4:$K$11,0)),"")</f>
        <v/>
      </c>
      <c r="L52" s="18">
        <f t="array" ref="L52">IFERROR(INDEX('④回収ファイル一覧'!$I$4:$I$11,MATCH(A52&amp;"-"&amp;B52,'④回収ファイル一覧'!$K$4:$K$11,0)),"")</f>
        <v/>
      </c>
      <c r="M52" s="18">
        <f t="array" ref="M52">IFERROR(INDEX('④回収ファイル一覧'!$J$4:$J$11,MATCH(A52&amp;"-"&amp;B52,'④回収ファイル一覧'!$K$4:$K$11,0)),"")</f>
        <v/>
      </c>
    </row>
    <row r="53" ht="17.25" customHeight="1" s="41">
      <c r="A53" s="31" t="n">
        <v>2</v>
      </c>
      <c r="B53" s="31" t="n">
        <v>2</v>
      </c>
      <c r="C53" s="20" t="inlineStr">
        <is>
          <t>A4</t>
        </is>
      </c>
      <c r="D53" s="21" t="inlineStr">
        <is>
          <t>生活音を出す</t>
        </is>
      </c>
      <c r="E53" s="31" t="inlineStr">
        <is>
          <t>反応しない</t>
        </is>
      </c>
      <c r="F53" s="31" t="n"/>
      <c r="G53" s="31" t="n"/>
      <c r="H53" s="31" t="n"/>
      <c r="I53" s="32" t="n"/>
      <c r="J53" s="18">
        <f t="array" ref="J53">IFERROR(INDEX('④回収ファイル一覧'!$G$4:$G$11,MATCH(A53&amp;"-"&amp;B53,'④回収ファイル一覧'!$K$4:$K$11,0)),"")</f>
        <v/>
      </c>
      <c r="K53" s="18">
        <f t="array" ref="K53">IFERROR(INDEX('④回収ファイル一覧'!$H$4:$H$11,MATCH(A53&amp;"-"&amp;B53,'④回収ファイル一覧'!$K$4:$K$11,0)),"")</f>
        <v/>
      </c>
      <c r="L53" s="18">
        <f t="array" ref="L53">IFERROR(INDEX('④回収ファイル一覧'!$I$4:$I$11,MATCH(A53&amp;"-"&amp;B53,'④回収ファイル一覧'!$K$4:$K$11,0)),"")</f>
        <v/>
      </c>
      <c r="M53" s="18">
        <f t="array" ref="M53">IFERROR(INDEX('④回収ファイル一覧'!$J$4:$J$11,MATCH(A53&amp;"-"&amp;B53,'④回収ファイル一覧'!$K$4:$K$11,0)),"")</f>
        <v/>
      </c>
    </row>
    <row r="54" ht="33.75" customHeight="1" s="41">
      <c r="A54" s="31" t="n">
        <v>2</v>
      </c>
      <c r="B54" s="31" t="n">
        <v>2</v>
      </c>
      <c r="C54" s="20" t="inlineStr">
        <is>
          <t>A5</t>
        </is>
      </c>
      <c r="D54" s="21" t="inlineStr">
        <is>
          <t>最初のあいさつ（かけ直し）</t>
        </is>
      </c>
      <c r="E54" s="31" t="inlineStr">
        <is>
          <t>反応しない</t>
        </is>
      </c>
      <c r="F54" s="31" t="n"/>
      <c r="G54" s="31" t="n"/>
      <c r="H54" s="31" t="n"/>
      <c r="I54" s="32" t="n"/>
      <c r="J54" s="18">
        <f t="array" ref="J54">IFERROR(INDEX('④回収ファイル一覧'!$G$4:$G$11,MATCH(A54&amp;"-"&amp;B54,'④回収ファイル一覧'!$K$4:$K$11,0)),"")</f>
        <v/>
      </c>
      <c r="K54" s="18">
        <f t="array" ref="K54">IFERROR(INDEX('④回収ファイル一覧'!$H$4:$H$11,MATCH(A54&amp;"-"&amp;B54,'④回収ファイル一覧'!$K$4:$K$11,0)),"")</f>
        <v/>
      </c>
      <c r="L54" s="18">
        <f t="array" ref="L54">IFERROR(INDEX('④回収ファイル一覧'!$I$4:$I$11,MATCH(A54&amp;"-"&amp;B54,'④回収ファイル一覧'!$K$4:$K$11,0)),"")</f>
        <v/>
      </c>
      <c r="M54" s="18">
        <f t="array" ref="M54">IFERROR(INDEX('④回収ファイル一覧'!$J$4:$J$11,MATCH(A54&amp;"-"&amp;B54,'④回収ファイル一覧'!$K$4:$K$11,0)),"")</f>
        <v/>
      </c>
    </row>
    <row r="55" ht="17.25" customHeight="1" s="41">
      <c r="A55" s="31" t="n">
        <v>2</v>
      </c>
      <c r="B55" s="31" t="n">
        <v>2</v>
      </c>
      <c r="C55" s="20" t="inlineStr">
        <is>
          <t>A6</t>
        </is>
      </c>
      <c r="D55" s="21" t="inlineStr">
        <is>
          <t>立って戻る</t>
        </is>
      </c>
      <c r="E55" s="31" t="inlineStr">
        <is>
          <t>反応しない</t>
        </is>
      </c>
      <c r="F55" s="31" t="n"/>
      <c r="G55" s="31" t="n"/>
      <c r="H55" s="31" t="n"/>
      <c r="I55" s="32" t="n"/>
      <c r="J55" s="18">
        <f t="array" ref="J55">IFERROR(INDEX('④回収ファイル一覧'!$G$4:$G$11,MATCH(A55&amp;"-"&amp;B55,'④回収ファイル一覧'!$K$4:$K$11,0)),"")</f>
        <v/>
      </c>
      <c r="K55" s="18">
        <f t="array" ref="K55">IFERROR(INDEX('④回収ファイル一覧'!$H$4:$H$11,MATCH(A55&amp;"-"&amp;B55,'④回収ファイル一覧'!$K$4:$K$11,0)),"")</f>
        <v/>
      </c>
      <c r="L55" s="18">
        <f t="array" ref="L55">IFERROR(INDEX('④回収ファイル一覧'!$I$4:$I$11,MATCH(A55&amp;"-"&amp;B55,'④回収ファイル一覧'!$K$4:$K$11,0)),"")</f>
        <v/>
      </c>
      <c r="M55" s="18">
        <f t="array" ref="M55">IFERROR(INDEX('④回収ファイル一覧'!$J$4:$J$11,MATCH(A55&amp;"-"&amp;B55,'④回収ファイル一覧'!$K$4:$K$11,0)),"")</f>
        <v/>
      </c>
    </row>
    <row r="56" ht="17.25" customHeight="1" s="41">
      <c r="A56" s="31" t="n">
        <v>2</v>
      </c>
      <c r="B56" s="31" t="n">
        <v>2</v>
      </c>
      <c r="C56" s="26" t="inlineStr">
        <is>
          <t>B1</t>
        </is>
      </c>
      <c r="D56" s="27" t="inlineStr">
        <is>
          <t>声を出して笑う</t>
        </is>
      </c>
      <c r="E56" s="31" t="inlineStr">
        <is>
          <t>反応する</t>
        </is>
      </c>
      <c r="F56" s="31" t="n"/>
      <c r="G56" s="31" t="n"/>
      <c r="H56" s="31" t="n"/>
      <c r="I56" s="32" t="n"/>
      <c r="J56" s="18">
        <f t="array" ref="J56">IFERROR(INDEX('④回収ファイル一覧'!$G$4:$G$11,MATCH(A56&amp;"-"&amp;B56,'④回収ファイル一覧'!$K$4:$K$11,0)),"")</f>
        <v/>
      </c>
      <c r="K56" s="18">
        <f t="array" ref="K56">IFERROR(INDEX('④回収ファイル一覧'!$H$4:$H$11,MATCH(A56&amp;"-"&amp;B56,'④回収ファイル一覧'!$K$4:$K$11,0)),"")</f>
        <v/>
      </c>
      <c r="L56" s="18">
        <f t="array" ref="L56">IFERROR(INDEX('④回収ファイル一覧'!$I$4:$I$11,MATCH(A56&amp;"-"&amp;B56,'④回収ファイル一覧'!$K$4:$K$11,0)),"")</f>
        <v/>
      </c>
      <c r="M56" s="18">
        <f t="array" ref="M56">IFERROR(INDEX('④回収ファイル一覧'!$J$4:$J$11,MATCH(A56&amp;"-"&amp;B56,'④回収ファイル一覧'!$K$4:$K$11,0)),"")</f>
        <v/>
      </c>
    </row>
    <row r="57" ht="17.25" customHeight="1" s="41">
      <c r="A57" s="31" t="n">
        <v>2</v>
      </c>
      <c r="B57" s="31" t="n">
        <v>2</v>
      </c>
      <c r="C57" s="26" t="inlineStr">
        <is>
          <t>B2</t>
        </is>
      </c>
      <c r="D57" s="27" t="inlineStr">
        <is>
          <t>驚く</t>
        </is>
      </c>
      <c r="E57" s="31" t="inlineStr">
        <is>
          <t>反応する</t>
        </is>
      </c>
      <c r="F57" s="31" t="n"/>
      <c r="G57" s="31" t="n"/>
      <c r="H57" s="31" t="n"/>
      <c r="I57" s="32" t="n"/>
      <c r="J57" s="18">
        <f t="array" ref="J57">IFERROR(INDEX('④回収ファイル一覧'!$G$4:$G$11,MATCH(A57&amp;"-"&amp;B57,'④回収ファイル一覧'!$K$4:$K$11,0)),"")</f>
        <v/>
      </c>
      <c r="K57" s="18">
        <f t="array" ref="K57">IFERROR(INDEX('④回収ファイル一覧'!$H$4:$H$11,MATCH(A57&amp;"-"&amp;B57,'④回収ファイル一覧'!$K$4:$K$11,0)),"")</f>
        <v/>
      </c>
      <c r="L57" s="18">
        <f t="array" ref="L57">IFERROR(INDEX('④回収ファイル一覧'!$I$4:$I$11,MATCH(A57&amp;"-"&amp;B57,'④回収ファイル一覧'!$K$4:$K$11,0)),"")</f>
        <v/>
      </c>
      <c r="M57" s="18">
        <f t="array" ref="M57">IFERROR(INDEX('④回収ファイル一覧'!$J$4:$J$11,MATCH(A57&amp;"-"&amp;B57,'④回収ファイル一覧'!$K$4:$K$11,0)),"")</f>
        <v/>
      </c>
    </row>
    <row r="58" ht="17.25" customHeight="1" s="41">
      <c r="A58" s="31" t="n">
        <v>2</v>
      </c>
      <c r="B58" s="31" t="n">
        <v>2</v>
      </c>
      <c r="C58" s="26" t="inlineStr">
        <is>
          <t>B3</t>
        </is>
      </c>
      <c r="D58" s="27" t="inlineStr">
        <is>
          <t>怒る</t>
        </is>
      </c>
      <c r="E58" s="31" t="inlineStr">
        <is>
          <t>反応する</t>
        </is>
      </c>
      <c r="F58" s="31" t="n"/>
      <c r="G58" s="31" t="n"/>
      <c r="H58" s="31" t="n"/>
      <c r="I58" s="32" t="n"/>
      <c r="J58" s="18">
        <f t="array" ref="J58">IFERROR(INDEX('④回収ファイル一覧'!$G$4:$G$11,MATCH(A58&amp;"-"&amp;B58,'④回収ファイル一覧'!$K$4:$K$11,0)),"")</f>
        <v/>
      </c>
      <c r="K58" s="18">
        <f t="array" ref="K58">IFERROR(INDEX('④回収ファイル一覧'!$H$4:$H$11,MATCH(A58&amp;"-"&amp;B58,'④回収ファイル一覧'!$K$4:$K$11,0)),"")</f>
        <v/>
      </c>
      <c r="L58" s="18">
        <f t="array" ref="L58">IFERROR(INDEX('④回収ファイル一覧'!$I$4:$I$11,MATCH(A58&amp;"-"&amp;B58,'④回収ファイル一覧'!$K$4:$K$11,0)),"")</f>
        <v/>
      </c>
      <c r="M58" s="18">
        <f t="array" ref="M58">IFERROR(INDEX('④回収ファイル一覧'!$J$4:$J$11,MATCH(A58&amp;"-"&amp;B58,'④回収ファイル一覧'!$K$4:$K$11,0)),"")</f>
        <v/>
      </c>
    </row>
    <row r="59" ht="33.75" customHeight="1" s="41">
      <c r="A59" s="31" t="n">
        <v>2</v>
      </c>
      <c r="B59" s="31" t="n">
        <v>2</v>
      </c>
      <c r="C59" s="26" t="inlineStr">
        <is>
          <t>B4</t>
        </is>
      </c>
      <c r="D59" s="27" t="inlineStr">
        <is>
          <t>静かに笑う（声量そのまま）</t>
        </is>
      </c>
      <c r="E59" s="31" t="inlineStr">
        <is>
          <t>反応する</t>
        </is>
      </c>
      <c r="F59" s="31" t="n"/>
      <c r="G59" s="31" t="n"/>
      <c r="H59" s="31" t="n"/>
      <c r="I59" s="32" t="n"/>
      <c r="J59" s="18">
        <f t="array" ref="J59">IFERROR(INDEX('④回収ファイル一覧'!$G$4:$G$11,MATCH(A59&amp;"-"&amp;B59,'④回収ファイル一覧'!$K$4:$K$11,0)),"")</f>
        <v/>
      </c>
      <c r="K59" s="18">
        <f t="array" ref="K59">IFERROR(INDEX('④回収ファイル一覧'!$H$4:$H$11,MATCH(A59&amp;"-"&amp;B59,'④回収ファイル一覧'!$K$4:$K$11,0)),"")</f>
        <v/>
      </c>
      <c r="L59" s="18">
        <f t="array" ref="L59">IFERROR(INDEX('④回収ファイル一覧'!$I$4:$I$11,MATCH(A59&amp;"-"&amp;B59,'④回収ファイル一覧'!$K$4:$K$11,0)),"")</f>
        <v/>
      </c>
      <c r="M59" s="18">
        <f t="array" ref="M59">IFERROR(INDEX('④回収ファイル一覧'!$J$4:$J$11,MATCH(A59&amp;"-"&amp;B59,'④回収ファイル一覧'!$K$4:$K$11,0)),"")</f>
        <v/>
      </c>
    </row>
    <row r="60" ht="17.25" customHeight="1" s="41">
      <c r="A60" s="31" t="n">
        <v>2</v>
      </c>
      <c r="B60" s="31" t="n">
        <v>2</v>
      </c>
      <c r="C60" s="26" t="inlineStr">
        <is>
          <t>B5</t>
        </is>
      </c>
      <c r="D60" s="27" t="inlineStr">
        <is>
          <t>ほめ言葉（ふだんの声）</t>
        </is>
      </c>
      <c r="E60" s="31" t="inlineStr">
        <is>
          <t>反応する</t>
        </is>
      </c>
      <c r="F60" s="31" t="n"/>
      <c r="G60" s="31" t="n"/>
      <c r="H60" s="31" t="n"/>
      <c r="I60" s="32" t="n"/>
      <c r="J60" s="18">
        <f t="array" ref="J60">IFERROR(INDEX('④回収ファイル一覧'!$G$4:$G$11,MATCH(A60&amp;"-"&amp;B60,'④回収ファイル一覧'!$K$4:$K$11,0)),"")</f>
        <v/>
      </c>
      <c r="K60" s="18">
        <f t="array" ref="K60">IFERROR(INDEX('④回収ファイル一覧'!$H$4:$H$11,MATCH(A60&amp;"-"&amp;B60,'④回収ファイル一覧'!$K$4:$K$11,0)),"")</f>
        <v/>
      </c>
      <c r="L60" s="18">
        <f t="array" ref="L60">IFERROR(INDEX('④回収ファイル一覧'!$I$4:$I$11,MATCH(A60&amp;"-"&amp;B60,'④回収ファイル一覧'!$K$4:$K$11,0)),"")</f>
        <v/>
      </c>
      <c r="M60" s="18">
        <f t="array" ref="M60">IFERROR(INDEX('④回収ファイル一覧'!$J$4:$J$11,MATCH(A60&amp;"-"&amp;B60,'④回収ファイル一覧'!$K$4:$K$11,0)),"")</f>
        <v/>
      </c>
    </row>
    <row r="61" ht="17.25" customHeight="1" s="41">
      <c r="A61" s="31" t="n">
        <v>2</v>
      </c>
      <c r="B61" s="31" t="n">
        <v>2</v>
      </c>
      <c r="C61" s="26" t="inlineStr">
        <is>
          <t>B6</t>
        </is>
      </c>
      <c r="D61" s="27" t="inlineStr">
        <is>
          <t>感極まる</t>
        </is>
      </c>
      <c r="E61" s="31" t="inlineStr">
        <is>
          <t>反応する</t>
        </is>
      </c>
      <c r="F61" s="31" t="n"/>
      <c r="G61" s="31" t="n"/>
      <c r="H61" s="31" t="n"/>
      <c r="I61" s="32" t="n"/>
      <c r="J61" s="18">
        <f t="array" ref="J61">IFERROR(INDEX('④回収ファイル一覧'!$G$4:$G$11,MATCH(A61&amp;"-"&amp;B61,'④回収ファイル一覧'!$K$4:$K$11,0)),"")</f>
        <v/>
      </c>
      <c r="K61" s="18">
        <f t="array" ref="K61">IFERROR(INDEX('④回収ファイル一覧'!$H$4:$H$11,MATCH(A61&amp;"-"&amp;B61,'④回収ファイル一覧'!$K$4:$K$11,0)),"")</f>
        <v/>
      </c>
      <c r="L61" s="18">
        <f t="array" ref="L61">IFERROR(INDEX('④回収ファイル一覧'!$I$4:$I$11,MATCH(A61&amp;"-"&amp;B61,'④回収ファイル一覧'!$K$4:$K$11,0)),"")</f>
        <v/>
      </c>
      <c r="M61" s="18">
        <f t="array" ref="M61">IFERROR(INDEX('④回収ファイル一覧'!$J$4:$J$11,MATCH(A61&amp;"-"&amp;B61,'④回収ファイル一覧'!$K$4:$K$11,0)),"")</f>
        <v/>
      </c>
    </row>
    <row r="62" ht="17.25" customHeight="1" s="41">
      <c r="A62" s="31" t="n">
        <v>2</v>
      </c>
      <c r="B62" s="31" t="n">
        <v>2</v>
      </c>
      <c r="C62" s="29" t="inlineStr">
        <is>
          <t>C1</t>
        </is>
      </c>
      <c r="D62" s="30" t="inlineStr">
        <is>
          <t>咳・くしゃみ・あくび</t>
        </is>
      </c>
      <c r="E62" s="31" t="inlineStr">
        <is>
          <t>記録のみ</t>
        </is>
      </c>
      <c r="F62" s="31" t="n"/>
      <c r="G62" s="31" t="n"/>
      <c r="H62" s="31" t="n"/>
      <c r="I62" s="32" t="n"/>
      <c r="J62" s="18">
        <f t="array" ref="J62">IFERROR(INDEX('④回収ファイル一覧'!$G$4:$G$11,MATCH(A62&amp;"-"&amp;B62,'④回収ファイル一覧'!$K$4:$K$11,0)),"")</f>
        <v/>
      </c>
      <c r="K62" s="18">
        <f t="array" ref="K62">IFERROR(INDEX('④回収ファイル一覧'!$H$4:$H$11,MATCH(A62&amp;"-"&amp;B62,'④回収ファイル一覧'!$K$4:$K$11,0)),"")</f>
        <v/>
      </c>
      <c r="L62" s="18">
        <f t="array" ref="L62">IFERROR(INDEX('④回収ファイル一覧'!$I$4:$I$11,MATCH(A62&amp;"-"&amp;B62,'④回収ファイル一覧'!$K$4:$K$11,0)),"")</f>
        <v/>
      </c>
      <c r="M62" s="18">
        <f t="array" ref="M62">IFERROR(INDEX('④回収ファイル一覧'!$J$4:$J$11,MATCH(A62&amp;"-"&amp;B62,'④回収ファイル一覧'!$K$4:$K$11,0)),"")</f>
        <v/>
      </c>
    </row>
    <row r="63" ht="17.25" customHeight="1" s="41">
      <c r="A63" s="31" t="n">
        <v>2</v>
      </c>
      <c r="B63" s="31" t="n">
        <v>2</v>
      </c>
      <c r="C63" s="29" t="inlineStr">
        <is>
          <t>C2</t>
        </is>
      </c>
      <c r="D63" s="30" t="inlineStr">
        <is>
          <t>笑い続ける30秒</t>
        </is>
      </c>
      <c r="E63" s="19" t="inlineStr">
        <is>
          <t>2回以上反応が正解</t>
        </is>
      </c>
      <c r="F63" s="31" t="n"/>
      <c r="G63" s="31" t="n"/>
      <c r="H63" s="31" t="n"/>
      <c r="I63" s="32" t="n"/>
      <c r="J63" s="18">
        <f t="array" ref="J63">IFERROR(INDEX('④回収ファイル一覧'!$G$4:$G$11,MATCH(A63&amp;"-"&amp;B63,'④回収ファイル一覧'!$K$4:$K$11,0)),"")</f>
        <v/>
      </c>
      <c r="K63" s="18">
        <f t="array" ref="K63">IFERROR(INDEX('④回収ファイル一覧'!$H$4:$H$11,MATCH(A63&amp;"-"&amp;B63,'④回収ファイル一覧'!$K$4:$K$11,0)),"")</f>
        <v/>
      </c>
      <c r="L63" s="18">
        <f t="array" ref="L63">IFERROR(INDEX('④回収ファイル一覧'!$I$4:$I$11,MATCH(A63&amp;"-"&amp;B63,'④回収ファイル一覧'!$K$4:$K$11,0)),"")</f>
        <v/>
      </c>
      <c r="M63" s="18">
        <f t="array" ref="M63">IFERROR(INDEX('④回収ファイル一覧'!$J$4:$J$11,MATCH(A63&amp;"-"&amp;B63,'④回収ファイル一覧'!$K$4:$K$11,0)),"")</f>
        <v/>
      </c>
    </row>
    <row r="64" ht="33.75" customHeight="1" s="41">
      <c r="A64" s="31" t="n">
        <v>2</v>
      </c>
      <c r="B64" s="31" t="n">
        <v>2</v>
      </c>
      <c r="C64" s="29" t="inlineStr">
        <is>
          <t>C3</t>
        </is>
      </c>
      <c r="D64" s="30" t="inlineStr">
        <is>
          <t>家族側が大声（テスター無言）</t>
        </is>
      </c>
      <c r="E64" s="31" t="inlineStr">
        <is>
          <t>記録のみ</t>
        </is>
      </c>
      <c r="F64" s="31" t="n"/>
      <c r="G64" s="31" t="n"/>
      <c r="H64" s="31" t="n"/>
      <c r="I64" s="32" t="n"/>
      <c r="J64" s="18">
        <f t="array" ref="J64">IFERROR(INDEX('④回収ファイル一覧'!$G$4:$G$11,MATCH(A64&amp;"-"&amp;B64,'④回収ファイル一覧'!$K$4:$K$11,0)),"")</f>
        <v/>
      </c>
      <c r="K64" s="18">
        <f t="array" ref="K64">IFERROR(INDEX('④回収ファイル一覧'!$H$4:$H$11,MATCH(A64&amp;"-"&amp;B64,'④回収ファイル一覧'!$K$4:$K$11,0)),"")</f>
        <v/>
      </c>
      <c r="L64" s="18">
        <f t="array" ref="L64">IFERROR(INDEX('④回収ファイル一覧'!$I$4:$I$11,MATCH(A64&amp;"-"&amp;B64,'④回収ファイル一覧'!$K$4:$K$11,0)),"")</f>
        <v/>
      </c>
      <c r="M64" s="18">
        <f t="array" ref="M64">IFERROR(INDEX('④回収ファイル一覧'!$J$4:$J$11,MATCH(A64&amp;"-"&amp;B64,'④回収ファイル一覧'!$K$4:$K$11,0)),"")</f>
        <v/>
      </c>
    </row>
    <row r="65" ht="17.25" customHeight="1" s="41">
      <c r="A65" s="31" t="n">
        <v>2</v>
      </c>
      <c r="B65" s="31" t="n">
        <v>3</v>
      </c>
      <c r="C65" s="20" t="inlineStr">
        <is>
          <t>A1</t>
        </is>
      </c>
      <c r="D65" s="21" t="inlineStr">
        <is>
          <t>静かにする</t>
        </is>
      </c>
      <c r="E65" s="31" t="inlineStr">
        <is>
          <t>反応しない</t>
        </is>
      </c>
      <c r="F65" s="31" t="n"/>
      <c r="G65" s="31" t="n"/>
      <c r="H65" s="31" t="n"/>
      <c r="I65" s="32" t="n"/>
      <c r="J65" s="18">
        <f t="array" ref="J65">IFERROR(INDEX('④回収ファイル一覧'!$G$4:$G$11,MATCH(A65&amp;"-"&amp;B65,'④回収ファイル一覧'!$K$4:$K$11,0)),"")</f>
        <v/>
      </c>
      <c r="K65" s="18">
        <f t="array" ref="K65">IFERROR(INDEX('④回収ファイル一覧'!$H$4:$H$11,MATCH(A65&amp;"-"&amp;B65,'④回収ファイル一覧'!$K$4:$K$11,0)),"")</f>
        <v/>
      </c>
      <c r="L65" s="18">
        <f t="array" ref="L65">IFERROR(INDEX('④回収ファイル一覧'!$I$4:$I$11,MATCH(A65&amp;"-"&amp;B65,'④回収ファイル一覧'!$K$4:$K$11,0)),"")</f>
        <v/>
      </c>
      <c r="M65" s="18">
        <f t="array" ref="M65">IFERROR(INDEX('④回収ファイル一覧'!$J$4:$J$11,MATCH(A65&amp;"-"&amp;B65,'④回収ファイル一覧'!$K$4:$K$11,0)),"")</f>
        <v/>
      </c>
    </row>
    <row r="66" ht="17.25" customHeight="1" s="41">
      <c r="A66" s="31" t="n">
        <v>2</v>
      </c>
      <c r="B66" s="31" t="n">
        <v>3</v>
      </c>
      <c r="C66" s="20" t="inlineStr">
        <is>
          <t>A2</t>
        </is>
      </c>
      <c r="D66" s="21" t="inlineStr">
        <is>
          <t>ふつうの雑談（10分）</t>
        </is>
      </c>
      <c r="E66" s="31" t="inlineStr">
        <is>
          <t>反応しない</t>
        </is>
      </c>
      <c r="F66" s="31" t="n"/>
      <c r="G66" s="31" t="n"/>
      <c r="H66" s="31" t="n"/>
      <c r="I66" s="32" t="n"/>
      <c r="J66" s="18">
        <f t="array" ref="J66">IFERROR(INDEX('④回収ファイル一覧'!$G$4:$G$11,MATCH(A66&amp;"-"&amp;B66,'④回収ファイル一覧'!$K$4:$K$11,0)),"")</f>
        <v/>
      </c>
      <c r="K66" s="18">
        <f t="array" ref="K66">IFERROR(INDEX('④回収ファイル一覧'!$H$4:$H$11,MATCH(A66&amp;"-"&amp;B66,'④回収ファイル一覧'!$K$4:$K$11,0)),"")</f>
        <v/>
      </c>
      <c r="L66" s="18">
        <f t="array" ref="L66">IFERROR(INDEX('④回収ファイル一覧'!$I$4:$I$11,MATCH(A66&amp;"-"&amp;B66,'④回収ファイル一覧'!$K$4:$K$11,0)),"")</f>
        <v/>
      </c>
      <c r="M66" s="18">
        <f t="array" ref="M66">IFERROR(INDEX('④回収ファイル一覧'!$J$4:$J$11,MATCH(A66&amp;"-"&amp;B66,'④回収ファイル一覧'!$K$4:$K$11,0)),"")</f>
        <v/>
      </c>
    </row>
    <row r="67" ht="17.25" customHeight="1" s="41">
      <c r="A67" s="31" t="n">
        <v>2</v>
      </c>
      <c r="B67" s="31" t="n">
        <v>3</v>
      </c>
      <c r="C67" s="20" t="inlineStr">
        <is>
          <t>A3</t>
        </is>
      </c>
      <c r="D67" s="21" t="inlineStr">
        <is>
          <t>本を読む</t>
        </is>
      </c>
      <c r="E67" s="31" t="inlineStr">
        <is>
          <t>反応しない</t>
        </is>
      </c>
      <c r="F67" s="31" t="n"/>
      <c r="G67" s="31" t="n"/>
      <c r="H67" s="31" t="n"/>
      <c r="I67" s="32" t="n"/>
      <c r="J67" s="18">
        <f t="array" ref="J67">IFERROR(INDEX('④回収ファイル一覧'!$G$4:$G$11,MATCH(A67&amp;"-"&amp;B67,'④回収ファイル一覧'!$K$4:$K$11,0)),"")</f>
        <v/>
      </c>
      <c r="K67" s="18">
        <f t="array" ref="K67">IFERROR(INDEX('④回収ファイル一覧'!$H$4:$H$11,MATCH(A67&amp;"-"&amp;B67,'④回収ファイル一覧'!$K$4:$K$11,0)),"")</f>
        <v/>
      </c>
      <c r="L67" s="18">
        <f t="array" ref="L67">IFERROR(INDEX('④回収ファイル一覧'!$I$4:$I$11,MATCH(A67&amp;"-"&amp;B67,'④回収ファイル一覧'!$K$4:$K$11,0)),"")</f>
        <v/>
      </c>
      <c r="M67" s="18">
        <f t="array" ref="M67">IFERROR(INDEX('④回収ファイル一覧'!$J$4:$J$11,MATCH(A67&amp;"-"&amp;B67,'④回収ファイル一覧'!$K$4:$K$11,0)),"")</f>
        <v/>
      </c>
    </row>
    <row r="68" ht="17.25" customHeight="1" s="41">
      <c r="A68" s="31" t="n">
        <v>2</v>
      </c>
      <c r="B68" s="31" t="n">
        <v>3</v>
      </c>
      <c r="C68" s="20" t="inlineStr">
        <is>
          <t>A4</t>
        </is>
      </c>
      <c r="D68" s="21" t="inlineStr">
        <is>
          <t>生活音を出す</t>
        </is>
      </c>
      <c r="E68" s="31" t="inlineStr">
        <is>
          <t>反応しない</t>
        </is>
      </c>
      <c r="F68" s="31" t="n"/>
      <c r="G68" s="31" t="n"/>
      <c r="H68" s="31" t="n"/>
      <c r="I68" s="32" t="n"/>
      <c r="J68" s="18">
        <f t="array" ref="J68">IFERROR(INDEX('④回収ファイル一覧'!$G$4:$G$11,MATCH(A68&amp;"-"&amp;B68,'④回収ファイル一覧'!$K$4:$K$11,0)),"")</f>
        <v/>
      </c>
      <c r="K68" s="18">
        <f t="array" ref="K68">IFERROR(INDEX('④回収ファイル一覧'!$H$4:$H$11,MATCH(A68&amp;"-"&amp;B68,'④回収ファイル一覧'!$K$4:$K$11,0)),"")</f>
        <v/>
      </c>
      <c r="L68" s="18">
        <f t="array" ref="L68">IFERROR(INDEX('④回収ファイル一覧'!$I$4:$I$11,MATCH(A68&amp;"-"&amp;B68,'④回収ファイル一覧'!$K$4:$K$11,0)),"")</f>
        <v/>
      </c>
      <c r="M68" s="18">
        <f t="array" ref="M68">IFERROR(INDEX('④回収ファイル一覧'!$J$4:$J$11,MATCH(A68&amp;"-"&amp;B68,'④回収ファイル一覧'!$K$4:$K$11,0)),"")</f>
        <v/>
      </c>
    </row>
    <row r="69" ht="33.75" customHeight="1" s="41">
      <c r="A69" s="31" t="n">
        <v>2</v>
      </c>
      <c r="B69" s="31" t="n">
        <v>3</v>
      </c>
      <c r="C69" s="20" t="inlineStr">
        <is>
          <t>A5</t>
        </is>
      </c>
      <c r="D69" s="21" t="inlineStr">
        <is>
          <t>最初のあいさつ（かけ直し）</t>
        </is>
      </c>
      <c r="E69" s="31" t="inlineStr">
        <is>
          <t>反応しない</t>
        </is>
      </c>
      <c r="F69" s="31" t="n"/>
      <c r="G69" s="31" t="n"/>
      <c r="H69" s="31" t="n"/>
      <c r="I69" s="32" t="n"/>
      <c r="J69" s="18">
        <f t="array" ref="J69">IFERROR(INDEX('④回収ファイル一覧'!$G$4:$G$11,MATCH(A69&amp;"-"&amp;B69,'④回収ファイル一覧'!$K$4:$K$11,0)),"")</f>
        <v/>
      </c>
      <c r="K69" s="18">
        <f t="array" ref="K69">IFERROR(INDEX('④回収ファイル一覧'!$H$4:$H$11,MATCH(A69&amp;"-"&amp;B69,'④回収ファイル一覧'!$K$4:$K$11,0)),"")</f>
        <v/>
      </c>
      <c r="L69" s="18">
        <f t="array" ref="L69">IFERROR(INDEX('④回収ファイル一覧'!$I$4:$I$11,MATCH(A69&amp;"-"&amp;B69,'④回収ファイル一覧'!$K$4:$K$11,0)),"")</f>
        <v/>
      </c>
      <c r="M69" s="18">
        <f t="array" ref="M69">IFERROR(INDEX('④回収ファイル一覧'!$J$4:$J$11,MATCH(A69&amp;"-"&amp;B69,'④回収ファイル一覧'!$K$4:$K$11,0)),"")</f>
        <v/>
      </c>
    </row>
    <row r="70" ht="17.25" customHeight="1" s="41">
      <c r="A70" s="31" t="n">
        <v>2</v>
      </c>
      <c r="B70" s="31" t="n">
        <v>3</v>
      </c>
      <c r="C70" s="20" t="inlineStr">
        <is>
          <t>A6</t>
        </is>
      </c>
      <c r="D70" s="21" t="inlineStr">
        <is>
          <t>立って戻る</t>
        </is>
      </c>
      <c r="E70" s="31" t="inlineStr">
        <is>
          <t>反応しない</t>
        </is>
      </c>
      <c r="F70" s="31" t="n"/>
      <c r="G70" s="31" t="n"/>
      <c r="H70" s="31" t="n"/>
      <c r="I70" s="32" t="n"/>
      <c r="J70" s="18">
        <f t="array" ref="J70">IFERROR(INDEX('④回収ファイル一覧'!$G$4:$G$11,MATCH(A70&amp;"-"&amp;B70,'④回収ファイル一覧'!$K$4:$K$11,0)),"")</f>
        <v/>
      </c>
      <c r="K70" s="18">
        <f t="array" ref="K70">IFERROR(INDEX('④回収ファイル一覧'!$H$4:$H$11,MATCH(A70&amp;"-"&amp;B70,'④回収ファイル一覧'!$K$4:$K$11,0)),"")</f>
        <v/>
      </c>
      <c r="L70" s="18">
        <f t="array" ref="L70">IFERROR(INDEX('④回収ファイル一覧'!$I$4:$I$11,MATCH(A70&amp;"-"&amp;B70,'④回収ファイル一覧'!$K$4:$K$11,0)),"")</f>
        <v/>
      </c>
      <c r="M70" s="18">
        <f t="array" ref="M70">IFERROR(INDEX('④回収ファイル一覧'!$J$4:$J$11,MATCH(A70&amp;"-"&amp;B70,'④回収ファイル一覧'!$K$4:$K$11,0)),"")</f>
        <v/>
      </c>
    </row>
    <row r="71" ht="17.25" customHeight="1" s="41">
      <c r="A71" s="31" t="n">
        <v>2</v>
      </c>
      <c r="B71" s="31" t="n">
        <v>3</v>
      </c>
      <c r="C71" s="26" t="inlineStr">
        <is>
          <t>B1</t>
        </is>
      </c>
      <c r="D71" s="27" t="inlineStr">
        <is>
          <t>声を出して笑う</t>
        </is>
      </c>
      <c r="E71" s="31" t="inlineStr">
        <is>
          <t>反応する</t>
        </is>
      </c>
      <c r="F71" s="31" t="n"/>
      <c r="G71" s="31" t="n"/>
      <c r="H71" s="31" t="n"/>
      <c r="I71" s="32" t="n"/>
      <c r="J71" s="18">
        <f t="array" ref="J71">IFERROR(INDEX('④回収ファイル一覧'!$G$4:$G$11,MATCH(A71&amp;"-"&amp;B71,'④回収ファイル一覧'!$K$4:$K$11,0)),"")</f>
        <v/>
      </c>
      <c r="K71" s="18">
        <f t="array" ref="K71">IFERROR(INDEX('④回収ファイル一覧'!$H$4:$H$11,MATCH(A71&amp;"-"&amp;B71,'④回収ファイル一覧'!$K$4:$K$11,0)),"")</f>
        <v/>
      </c>
      <c r="L71" s="18">
        <f t="array" ref="L71">IFERROR(INDEX('④回収ファイル一覧'!$I$4:$I$11,MATCH(A71&amp;"-"&amp;B71,'④回収ファイル一覧'!$K$4:$K$11,0)),"")</f>
        <v/>
      </c>
      <c r="M71" s="18">
        <f t="array" ref="M71">IFERROR(INDEX('④回収ファイル一覧'!$J$4:$J$11,MATCH(A71&amp;"-"&amp;B71,'④回収ファイル一覧'!$K$4:$K$11,0)),"")</f>
        <v/>
      </c>
    </row>
    <row r="72" ht="17.25" customHeight="1" s="41">
      <c r="A72" s="31" t="n">
        <v>2</v>
      </c>
      <c r="B72" s="31" t="n">
        <v>3</v>
      </c>
      <c r="C72" s="26" t="inlineStr">
        <is>
          <t>B2</t>
        </is>
      </c>
      <c r="D72" s="27" t="inlineStr">
        <is>
          <t>驚く</t>
        </is>
      </c>
      <c r="E72" s="31" t="inlineStr">
        <is>
          <t>反応する</t>
        </is>
      </c>
      <c r="F72" s="31" t="n"/>
      <c r="G72" s="31" t="n"/>
      <c r="H72" s="31" t="n"/>
      <c r="I72" s="32" t="n"/>
      <c r="J72" s="18">
        <f t="array" ref="J72">IFERROR(INDEX('④回収ファイル一覧'!$G$4:$G$11,MATCH(A72&amp;"-"&amp;B72,'④回収ファイル一覧'!$K$4:$K$11,0)),"")</f>
        <v/>
      </c>
      <c r="K72" s="18">
        <f t="array" ref="K72">IFERROR(INDEX('④回収ファイル一覧'!$H$4:$H$11,MATCH(A72&amp;"-"&amp;B72,'④回収ファイル一覧'!$K$4:$K$11,0)),"")</f>
        <v/>
      </c>
      <c r="L72" s="18">
        <f t="array" ref="L72">IFERROR(INDEX('④回収ファイル一覧'!$I$4:$I$11,MATCH(A72&amp;"-"&amp;B72,'④回収ファイル一覧'!$K$4:$K$11,0)),"")</f>
        <v/>
      </c>
      <c r="M72" s="18">
        <f t="array" ref="M72">IFERROR(INDEX('④回収ファイル一覧'!$J$4:$J$11,MATCH(A72&amp;"-"&amp;B72,'④回収ファイル一覧'!$K$4:$K$11,0)),"")</f>
        <v/>
      </c>
    </row>
    <row r="73" ht="17.25" customHeight="1" s="41">
      <c r="A73" s="31" t="n">
        <v>2</v>
      </c>
      <c r="B73" s="31" t="n">
        <v>3</v>
      </c>
      <c r="C73" s="26" t="inlineStr">
        <is>
          <t>B3</t>
        </is>
      </c>
      <c r="D73" s="27" t="inlineStr">
        <is>
          <t>怒る</t>
        </is>
      </c>
      <c r="E73" s="31" t="inlineStr">
        <is>
          <t>反応する</t>
        </is>
      </c>
      <c r="F73" s="31" t="n"/>
      <c r="G73" s="31" t="n"/>
      <c r="H73" s="31" t="n"/>
      <c r="I73" s="32" t="n"/>
      <c r="J73" s="18">
        <f t="array" ref="J73">IFERROR(INDEX('④回収ファイル一覧'!$G$4:$G$11,MATCH(A73&amp;"-"&amp;B73,'④回収ファイル一覧'!$K$4:$K$11,0)),"")</f>
        <v/>
      </c>
      <c r="K73" s="18">
        <f t="array" ref="K73">IFERROR(INDEX('④回収ファイル一覧'!$H$4:$H$11,MATCH(A73&amp;"-"&amp;B73,'④回収ファイル一覧'!$K$4:$K$11,0)),"")</f>
        <v/>
      </c>
      <c r="L73" s="18">
        <f t="array" ref="L73">IFERROR(INDEX('④回収ファイル一覧'!$I$4:$I$11,MATCH(A73&amp;"-"&amp;B73,'④回収ファイル一覧'!$K$4:$K$11,0)),"")</f>
        <v/>
      </c>
      <c r="M73" s="18">
        <f t="array" ref="M73">IFERROR(INDEX('④回収ファイル一覧'!$J$4:$J$11,MATCH(A73&amp;"-"&amp;B73,'④回収ファイル一覧'!$K$4:$K$11,0)),"")</f>
        <v/>
      </c>
    </row>
    <row r="74" ht="33.75" customHeight="1" s="41">
      <c r="A74" s="31" t="n">
        <v>2</v>
      </c>
      <c r="B74" s="31" t="n">
        <v>3</v>
      </c>
      <c r="C74" s="26" t="inlineStr">
        <is>
          <t>B4</t>
        </is>
      </c>
      <c r="D74" s="27" t="inlineStr">
        <is>
          <t>静かに笑う（声量そのまま）</t>
        </is>
      </c>
      <c r="E74" s="31" t="inlineStr">
        <is>
          <t>反応する</t>
        </is>
      </c>
      <c r="F74" s="31" t="n"/>
      <c r="G74" s="31" t="n"/>
      <c r="H74" s="31" t="n"/>
      <c r="I74" s="32" t="n"/>
      <c r="J74" s="18">
        <f t="array" ref="J74">IFERROR(INDEX('④回収ファイル一覧'!$G$4:$G$11,MATCH(A74&amp;"-"&amp;B74,'④回収ファイル一覧'!$K$4:$K$11,0)),"")</f>
        <v/>
      </c>
      <c r="K74" s="18">
        <f t="array" ref="K74">IFERROR(INDEX('④回収ファイル一覧'!$H$4:$H$11,MATCH(A74&amp;"-"&amp;B74,'④回収ファイル一覧'!$K$4:$K$11,0)),"")</f>
        <v/>
      </c>
      <c r="L74" s="18">
        <f t="array" ref="L74">IFERROR(INDEX('④回収ファイル一覧'!$I$4:$I$11,MATCH(A74&amp;"-"&amp;B74,'④回収ファイル一覧'!$K$4:$K$11,0)),"")</f>
        <v/>
      </c>
      <c r="M74" s="18">
        <f t="array" ref="M74">IFERROR(INDEX('④回収ファイル一覧'!$J$4:$J$11,MATCH(A74&amp;"-"&amp;B74,'④回収ファイル一覧'!$K$4:$K$11,0)),"")</f>
        <v/>
      </c>
    </row>
    <row r="75" ht="17.25" customHeight="1" s="41">
      <c r="A75" s="31" t="n">
        <v>2</v>
      </c>
      <c r="B75" s="31" t="n">
        <v>3</v>
      </c>
      <c r="C75" s="26" t="inlineStr">
        <is>
          <t>B5</t>
        </is>
      </c>
      <c r="D75" s="27" t="inlineStr">
        <is>
          <t>ほめ言葉（ふだんの声）</t>
        </is>
      </c>
      <c r="E75" s="31" t="inlineStr">
        <is>
          <t>反応する</t>
        </is>
      </c>
      <c r="F75" s="31" t="n"/>
      <c r="G75" s="31" t="n"/>
      <c r="H75" s="31" t="n"/>
      <c r="I75" s="32" t="n"/>
      <c r="J75" s="18">
        <f t="array" ref="J75">IFERROR(INDEX('④回収ファイル一覧'!$G$4:$G$11,MATCH(A75&amp;"-"&amp;B75,'④回収ファイル一覧'!$K$4:$K$11,0)),"")</f>
        <v/>
      </c>
      <c r="K75" s="18">
        <f t="array" ref="K75">IFERROR(INDEX('④回収ファイル一覧'!$H$4:$H$11,MATCH(A75&amp;"-"&amp;B75,'④回収ファイル一覧'!$K$4:$K$11,0)),"")</f>
        <v/>
      </c>
      <c r="L75" s="18">
        <f t="array" ref="L75">IFERROR(INDEX('④回収ファイル一覧'!$I$4:$I$11,MATCH(A75&amp;"-"&amp;B75,'④回収ファイル一覧'!$K$4:$K$11,0)),"")</f>
        <v/>
      </c>
      <c r="M75" s="18">
        <f t="array" ref="M75">IFERROR(INDEX('④回収ファイル一覧'!$J$4:$J$11,MATCH(A75&amp;"-"&amp;B75,'④回収ファイル一覧'!$K$4:$K$11,0)),"")</f>
        <v/>
      </c>
    </row>
    <row r="76" ht="17.25" customHeight="1" s="41">
      <c r="A76" s="31" t="n">
        <v>2</v>
      </c>
      <c r="B76" s="31" t="n">
        <v>3</v>
      </c>
      <c r="C76" s="26" t="inlineStr">
        <is>
          <t>B6</t>
        </is>
      </c>
      <c r="D76" s="27" t="inlineStr">
        <is>
          <t>感極まる</t>
        </is>
      </c>
      <c r="E76" s="31" t="inlineStr">
        <is>
          <t>反応する</t>
        </is>
      </c>
      <c r="F76" s="31" t="n"/>
      <c r="G76" s="31" t="n"/>
      <c r="H76" s="31" t="n"/>
      <c r="I76" s="32" t="n"/>
      <c r="J76" s="18">
        <f t="array" ref="J76">IFERROR(INDEX('④回収ファイル一覧'!$G$4:$G$11,MATCH(A76&amp;"-"&amp;B76,'④回収ファイル一覧'!$K$4:$K$11,0)),"")</f>
        <v/>
      </c>
      <c r="K76" s="18">
        <f t="array" ref="K76">IFERROR(INDEX('④回収ファイル一覧'!$H$4:$H$11,MATCH(A76&amp;"-"&amp;B76,'④回収ファイル一覧'!$K$4:$K$11,0)),"")</f>
        <v/>
      </c>
      <c r="L76" s="18">
        <f t="array" ref="L76">IFERROR(INDEX('④回収ファイル一覧'!$I$4:$I$11,MATCH(A76&amp;"-"&amp;B76,'④回収ファイル一覧'!$K$4:$K$11,0)),"")</f>
        <v/>
      </c>
      <c r="M76" s="18">
        <f t="array" ref="M76">IFERROR(INDEX('④回収ファイル一覧'!$J$4:$J$11,MATCH(A76&amp;"-"&amp;B76,'④回収ファイル一覧'!$K$4:$K$11,0)),"")</f>
        <v/>
      </c>
    </row>
    <row r="77" ht="17.25" customHeight="1" s="41">
      <c r="A77" s="31" t="n">
        <v>2</v>
      </c>
      <c r="B77" s="31" t="n">
        <v>3</v>
      </c>
      <c r="C77" s="29" t="inlineStr">
        <is>
          <t>C1</t>
        </is>
      </c>
      <c r="D77" s="30" t="inlineStr">
        <is>
          <t>咳・くしゃみ・あくび</t>
        </is>
      </c>
      <c r="E77" s="31" t="inlineStr">
        <is>
          <t>記録のみ</t>
        </is>
      </c>
      <c r="F77" s="31" t="n"/>
      <c r="G77" s="31" t="n"/>
      <c r="H77" s="31" t="n"/>
      <c r="I77" s="32" t="n"/>
      <c r="J77" s="18">
        <f t="array" ref="J77">IFERROR(INDEX('④回収ファイル一覧'!$G$4:$G$11,MATCH(A77&amp;"-"&amp;B77,'④回収ファイル一覧'!$K$4:$K$11,0)),"")</f>
        <v/>
      </c>
      <c r="K77" s="18">
        <f t="array" ref="K77">IFERROR(INDEX('④回収ファイル一覧'!$H$4:$H$11,MATCH(A77&amp;"-"&amp;B77,'④回収ファイル一覧'!$K$4:$K$11,0)),"")</f>
        <v/>
      </c>
      <c r="L77" s="18">
        <f t="array" ref="L77">IFERROR(INDEX('④回収ファイル一覧'!$I$4:$I$11,MATCH(A77&amp;"-"&amp;B77,'④回収ファイル一覧'!$K$4:$K$11,0)),"")</f>
        <v/>
      </c>
      <c r="M77" s="18">
        <f t="array" ref="M77">IFERROR(INDEX('④回収ファイル一覧'!$J$4:$J$11,MATCH(A77&amp;"-"&amp;B77,'④回収ファイル一覧'!$K$4:$K$11,0)),"")</f>
        <v/>
      </c>
    </row>
    <row r="78" ht="17.25" customHeight="1" s="41">
      <c r="A78" s="31" t="n">
        <v>2</v>
      </c>
      <c r="B78" s="31" t="n">
        <v>3</v>
      </c>
      <c r="C78" s="29" t="inlineStr">
        <is>
          <t>C2</t>
        </is>
      </c>
      <c r="D78" s="30" t="inlineStr">
        <is>
          <t>笑い続ける30秒</t>
        </is>
      </c>
      <c r="E78" s="19" t="inlineStr">
        <is>
          <t>2回以上反応が正解</t>
        </is>
      </c>
      <c r="F78" s="31" t="n"/>
      <c r="G78" s="31" t="n"/>
      <c r="H78" s="31" t="n"/>
      <c r="I78" s="32" t="n"/>
      <c r="J78" s="18">
        <f t="array" ref="J78">IFERROR(INDEX('④回収ファイル一覧'!$G$4:$G$11,MATCH(A78&amp;"-"&amp;B78,'④回収ファイル一覧'!$K$4:$K$11,0)),"")</f>
        <v/>
      </c>
      <c r="K78" s="18">
        <f t="array" ref="K78">IFERROR(INDEX('④回収ファイル一覧'!$H$4:$H$11,MATCH(A78&amp;"-"&amp;B78,'④回収ファイル一覧'!$K$4:$K$11,0)),"")</f>
        <v/>
      </c>
      <c r="L78" s="18">
        <f t="array" ref="L78">IFERROR(INDEX('④回収ファイル一覧'!$I$4:$I$11,MATCH(A78&amp;"-"&amp;B78,'④回収ファイル一覧'!$K$4:$K$11,0)),"")</f>
        <v/>
      </c>
      <c r="M78" s="18">
        <f t="array" ref="M78">IFERROR(INDEX('④回収ファイル一覧'!$J$4:$J$11,MATCH(A78&amp;"-"&amp;B78,'④回収ファイル一覧'!$K$4:$K$11,0)),"")</f>
        <v/>
      </c>
    </row>
    <row r="79" ht="33.75" customHeight="1" s="41">
      <c r="A79" s="31" t="n">
        <v>2</v>
      </c>
      <c r="B79" s="31" t="n">
        <v>3</v>
      </c>
      <c r="C79" s="29" t="inlineStr">
        <is>
          <t>C3</t>
        </is>
      </c>
      <c r="D79" s="30" t="inlineStr">
        <is>
          <t>家族側が大声（テスター無言）</t>
        </is>
      </c>
      <c r="E79" s="31" t="inlineStr">
        <is>
          <t>記録のみ</t>
        </is>
      </c>
      <c r="F79" s="31" t="n"/>
      <c r="G79" s="31" t="n"/>
      <c r="H79" s="31" t="n"/>
      <c r="I79" s="32" t="n"/>
      <c r="J79" s="18">
        <f t="array" ref="J79">IFERROR(INDEX('④回収ファイル一覧'!$G$4:$G$11,MATCH(A79&amp;"-"&amp;B79,'④回収ファイル一覧'!$K$4:$K$11,0)),"")</f>
        <v/>
      </c>
      <c r="K79" s="18">
        <f t="array" ref="K79">IFERROR(INDEX('④回収ファイル一覧'!$H$4:$H$11,MATCH(A79&amp;"-"&amp;B79,'④回収ファイル一覧'!$K$4:$K$11,0)),"")</f>
        <v/>
      </c>
      <c r="L79" s="18">
        <f t="array" ref="L79">IFERROR(INDEX('④回収ファイル一覧'!$I$4:$I$11,MATCH(A79&amp;"-"&amp;B79,'④回収ファイル一覧'!$K$4:$K$11,0)),"")</f>
        <v/>
      </c>
      <c r="M79" s="18">
        <f t="array" ref="M79">IFERROR(INDEX('④回収ファイル一覧'!$J$4:$J$11,MATCH(A79&amp;"-"&amp;B79,'④回収ファイル一覧'!$K$4:$K$11,0)),"")</f>
        <v/>
      </c>
    </row>
    <row r="80" ht="14.25" customHeight="1" s="41"/>
    <row r="81" ht="14.25" customHeight="1" s="41"/>
    <row r="82" ht="14.25" customHeight="1" s="41"/>
    <row r="83" ht="14.25" customHeight="1" s="41"/>
    <row r="84" ht="14.25" customHeight="1" s="41"/>
    <row r="85" ht="14.25" customHeight="1" s="41"/>
    <row r="86" ht="14.25" customHeight="1" s="41"/>
    <row r="87" ht="14.25" customHeight="1" s="41"/>
    <row r="88" ht="14.25" customHeight="1" s="41"/>
    <row r="89" ht="14.25" customHeight="1" s="41"/>
    <row r="90" ht="14.25" customHeight="1" s="41"/>
    <row r="91" ht="14.25" customHeight="1" s="41"/>
    <row r="92" ht="14.25" customHeight="1" s="41"/>
    <row r="93" ht="14.25" customHeight="1" s="41"/>
    <row r="94" ht="14.25" customHeight="1" s="41"/>
    <row r="95" ht="14.25" customHeight="1" s="41"/>
    <row r="96" ht="14.25" customHeight="1" s="41"/>
    <row r="97" ht="14.25" customHeight="1" s="41"/>
    <row r="98" ht="14.25" customHeight="1" s="41"/>
    <row r="99" ht="14.25" customHeight="1" s="41"/>
    <row r="100" ht="14.25" customHeight="1" s="41"/>
    <row r="101" ht="14.25" customHeight="1" s="41"/>
    <row r="102" ht="14.25" customHeight="1" s="41"/>
    <row r="103" ht="14.25" customHeight="1" s="41"/>
    <row r="104" ht="14.25" customHeight="1" s="41"/>
    <row r="105" ht="14.25" customHeight="1" s="41"/>
    <row r="106" ht="14.25" customHeight="1" s="41"/>
    <row r="107" ht="14.25" customHeight="1" s="41"/>
    <row r="108" ht="14.25" customHeight="1" s="41"/>
    <row r="109" ht="14.25" customHeight="1" s="41"/>
    <row r="110" ht="14.25" customHeight="1" s="41"/>
    <row r="111" ht="14.25" customHeight="1" s="41"/>
    <row r="112" ht="14.25" customHeight="1" s="41"/>
    <row r="113" ht="14.25" customHeight="1" s="41"/>
    <row r="114" ht="14.25" customHeight="1" s="41"/>
    <row r="115" ht="14.25" customHeight="1" s="41"/>
    <row r="116" ht="14.25" customHeight="1" s="41"/>
    <row r="117" ht="14.25" customHeight="1" s="41"/>
    <row r="118" ht="14.25" customHeight="1" s="41"/>
    <row r="119" ht="14.25" customHeight="1" s="41"/>
    <row r="120" ht="14.25" customHeight="1" s="41"/>
    <row r="121" ht="14.25" customHeight="1" s="41"/>
    <row r="122" ht="14.25" customHeight="1" s="41"/>
    <row r="123" ht="14.25" customHeight="1" s="41"/>
    <row r="124" ht="14.25" customHeight="1" s="41"/>
    <row r="125" ht="14.25" customHeight="1" s="41"/>
    <row r="126" ht="14.25" customHeight="1" s="41"/>
    <row r="127" ht="14.25" customHeight="1" s="41"/>
    <row r="128" ht="14.25" customHeight="1" s="41"/>
    <row r="129" ht="14.25" customHeight="1" s="41"/>
    <row r="130" ht="14.25" customHeight="1" s="41"/>
    <row r="131" ht="14.25" customHeight="1" s="41"/>
    <row r="132" ht="14.25" customHeight="1" s="41"/>
    <row r="133" ht="14.25" customHeight="1" s="41"/>
    <row r="134" ht="14.25" customHeight="1" s="41"/>
    <row r="135" ht="14.25" customHeight="1" s="41"/>
    <row r="136" ht="14.25" customHeight="1" s="41"/>
    <row r="137" ht="14.25" customHeight="1" s="41"/>
    <row r="138" ht="14.25" customHeight="1" s="41"/>
    <row r="139" ht="14.25" customHeight="1" s="41"/>
    <row r="140" ht="14.25" customHeight="1" s="41"/>
    <row r="141" ht="14.25" customHeight="1" s="41"/>
    <row r="142" ht="14.25" customHeight="1" s="41"/>
    <row r="143" ht="14.25" customHeight="1" s="41"/>
    <row r="144" ht="14.25" customHeight="1" s="41"/>
    <row r="145" ht="14.25" customHeight="1" s="41"/>
    <row r="146" ht="14.25" customHeight="1" s="41"/>
    <row r="147" ht="14.25" customHeight="1" s="41"/>
    <row r="148" ht="14.25" customHeight="1" s="41"/>
    <row r="149" ht="14.25" customHeight="1" s="41"/>
    <row r="150" ht="14.25" customHeight="1" s="41"/>
    <row r="151" ht="14.25" customHeight="1" s="41"/>
    <row r="152" ht="14.25" customHeight="1" s="41"/>
    <row r="153" ht="14.25" customHeight="1" s="41"/>
    <row r="154" ht="14.25" customHeight="1" s="41"/>
    <row r="155" ht="14.25" customHeight="1" s="41"/>
    <row r="156" ht="14.25" customHeight="1" s="41"/>
    <row r="157" ht="14.25" customHeight="1" s="41"/>
    <row r="158" ht="14.25" customHeight="1" s="41"/>
    <row r="159" ht="14.25" customHeight="1" s="41"/>
    <row r="160" ht="14.25" customHeight="1" s="41"/>
    <row r="161" ht="14.25" customHeight="1" s="41"/>
    <row r="162" ht="14.25" customHeight="1" s="41"/>
    <row r="163" ht="14.25" customHeight="1" s="41"/>
    <row r="164" ht="14.25" customHeight="1" s="41"/>
    <row r="165" ht="14.25" customHeight="1" s="41"/>
    <row r="166" ht="14.25" customHeight="1" s="41"/>
    <row r="167" ht="14.25" customHeight="1" s="41"/>
    <row r="168" ht="14.25" customHeight="1" s="41"/>
    <row r="169" ht="14.25" customHeight="1" s="41"/>
    <row r="170" ht="14.25" customHeight="1" s="41"/>
    <row r="171" ht="14.25" customHeight="1" s="41"/>
    <row r="172" ht="14.25" customHeight="1" s="41"/>
    <row r="173" ht="14.25" customHeight="1" s="41"/>
    <row r="174" ht="14.25" customHeight="1" s="41"/>
    <row r="175" ht="14.25" customHeight="1" s="41"/>
    <row r="176" ht="14.25" customHeight="1" s="41"/>
    <row r="177" ht="14.25" customHeight="1" s="41"/>
    <row r="178" ht="14.25" customHeight="1" s="41"/>
    <row r="179" ht="14.25" customHeight="1" s="41"/>
    <row r="180" ht="14.25" customHeight="1" s="41"/>
    <row r="181" ht="14.25" customHeight="1" s="41"/>
    <row r="182" ht="14.25" customHeight="1" s="41"/>
    <row r="183" ht="14.25" customHeight="1" s="41"/>
    <row r="184" ht="14.25" customHeight="1" s="41"/>
    <row r="185" ht="14.25" customHeight="1" s="41"/>
    <row r="186" ht="14.25" customHeight="1" s="41"/>
    <row r="187" ht="14.25" customHeight="1" s="41"/>
    <row r="188" ht="14.25" customHeight="1" s="41"/>
    <row r="189" ht="14.25" customHeight="1" s="41"/>
    <row r="190" ht="14.25" customHeight="1" s="41"/>
    <row r="191" ht="14.25" customHeight="1" s="41"/>
    <row r="192" ht="14.25" customHeight="1" s="41"/>
    <row r="193" ht="14.25" customHeight="1" s="41"/>
    <row r="194" ht="14.25" customHeight="1" s="41"/>
    <row r="195" ht="14.25" customHeight="1" s="41"/>
    <row r="196" ht="14.25" customHeight="1" s="41"/>
    <row r="197" ht="14.25" customHeight="1" s="41"/>
    <row r="198" ht="14.25" customHeight="1" s="41"/>
    <row r="199" ht="14.25" customHeight="1" s="41"/>
    <row r="200" ht="14.25" customHeight="1" s="41"/>
    <row r="201" ht="14.25" customHeight="1" s="41"/>
    <row r="202" ht="14.25" customHeight="1" s="41"/>
    <row r="203" ht="14.25" customHeight="1" s="41"/>
    <row r="204" ht="14.25" customHeight="1" s="41"/>
    <row r="205" ht="14.25" customHeight="1" s="41"/>
    <row r="206" ht="14.25" customHeight="1" s="41"/>
    <row r="207" ht="14.25" customHeight="1" s="41"/>
    <row r="208" ht="14.25" customHeight="1" s="41"/>
    <row r="209" ht="14.25" customHeight="1" s="41"/>
    <row r="210" ht="14.25" customHeight="1" s="41"/>
    <row r="211" ht="14.25" customHeight="1" s="41"/>
    <row r="212" ht="14.25" customHeight="1" s="41"/>
    <row r="213" ht="14.25" customHeight="1" s="41"/>
    <row r="214" ht="14.25" customHeight="1" s="41"/>
    <row r="215" ht="14.25" customHeight="1" s="41"/>
    <row r="216" ht="14.25" customHeight="1" s="41"/>
    <row r="217" ht="14.25" customHeight="1" s="41"/>
    <row r="218" ht="14.25" customHeight="1" s="41"/>
    <row r="219" ht="14.25" customHeight="1" s="41"/>
    <row r="220" ht="14.25" customHeight="1" s="41"/>
    <row r="221" ht="14.25" customHeight="1" s="41"/>
    <row r="222" ht="14.25" customHeight="1" s="41"/>
    <row r="223" ht="14.25" customHeight="1" s="41"/>
    <row r="224" ht="14.25" customHeight="1" s="41"/>
    <row r="225" ht="14.25" customHeight="1" s="41"/>
    <row r="226" ht="14.25" customHeight="1" s="41"/>
    <row r="227" ht="14.25" customHeight="1" s="41"/>
    <row r="228" ht="14.25" customHeight="1" s="41"/>
    <row r="229" ht="14.25" customHeight="1" s="41"/>
    <row r="230" ht="14.25" customHeight="1" s="41"/>
    <row r="231" ht="14.25" customHeight="1" s="41"/>
    <row r="232" ht="14.25" customHeight="1" s="41"/>
    <row r="233" ht="14.25" customHeight="1" s="41"/>
    <row r="234" ht="14.25" customHeight="1" s="41"/>
    <row r="235" ht="14.25" customHeight="1" s="41"/>
    <row r="236" ht="14.25" customHeight="1" s="41"/>
    <row r="237" ht="14.25" customHeight="1" s="41"/>
    <row r="238" ht="14.25" customHeight="1" s="41"/>
    <row r="239" ht="14.25" customHeight="1" s="41"/>
    <row r="240" ht="14.25" customHeight="1" s="41"/>
    <row r="241" ht="14.25" customHeight="1" s="41"/>
    <row r="242" ht="14.25" customHeight="1" s="41"/>
    <row r="243" ht="14.25" customHeight="1" s="41"/>
    <row r="244" ht="14.25" customHeight="1" s="41"/>
    <row r="245" ht="14.25" customHeight="1" s="41"/>
    <row r="246" ht="14.25" customHeight="1" s="41"/>
    <row r="247" ht="14.25" customHeight="1" s="41"/>
    <row r="248" ht="14.25" customHeight="1" s="41"/>
    <row r="249" ht="14.25" customHeight="1" s="41"/>
    <row r="250" ht="14.25" customHeight="1" s="41"/>
    <row r="251" ht="14.25" customHeight="1" s="41"/>
    <row r="252" ht="14.25" customHeight="1" s="41"/>
    <row r="253" ht="14.25" customHeight="1" s="41"/>
    <row r="254" ht="14.25" customHeight="1" s="41"/>
    <row r="255" ht="14.25" customHeight="1" s="41"/>
    <row r="256" ht="14.25" customHeight="1" s="41"/>
    <row r="257" ht="14.25" customHeight="1" s="41"/>
    <row r="258" ht="14.25" customHeight="1" s="41"/>
    <row r="259" ht="14.25" customHeight="1" s="41"/>
    <row r="260" ht="14.25" customHeight="1" s="41"/>
    <row r="261" ht="14.25" customHeight="1" s="41"/>
    <row r="262" ht="14.25" customHeight="1" s="41"/>
    <row r="263" ht="14.25" customHeight="1" s="41"/>
    <row r="264" ht="14.25" customHeight="1" s="41"/>
    <row r="265" ht="14.25" customHeight="1" s="41"/>
    <row r="266" ht="14.25" customHeight="1" s="41"/>
    <row r="267" ht="14.25" customHeight="1" s="41"/>
    <row r="268" ht="14.25" customHeight="1" s="41"/>
    <row r="269" ht="14.25" customHeight="1" s="41"/>
    <row r="270" ht="14.25" customHeight="1" s="41"/>
    <row r="271" ht="14.25" customHeight="1" s="41"/>
    <row r="272" ht="14.25" customHeight="1" s="41"/>
    <row r="273" ht="14.25" customHeight="1" s="41"/>
    <row r="274" ht="14.25" customHeight="1" s="41"/>
    <row r="275" ht="14.25" customHeight="1" s="41"/>
    <row r="276" ht="14.25" customHeight="1" s="41"/>
    <row r="277" ht="14.25" customHeight="1" s="41"/>
    <row r="278" ht="14.25" customHeight="1" s="41"/>
    <row r="279" ht="14.25" customHeight="1" s="41"/>
    <row r="280" ht="14.25" customHeight="1" s="41"/>
    <row r="281" ht="14.25" customHeight="1" s="41"/>
    <row r="282" ht="14.25" customHeight="1" s="41"/>
    <row r="283" ht="14.25" customHeight="1" s="41"/>
    <row r="284" ht="14.25" customHeight="1" s="41"/>
    <row r="285" ht="14.25" customHeight="1" s="41"/>
    <row r="286" ht="14.25" customHeight="1" s="41"/>
    <row r="287" ht="14.25" customHeight="1" s="41"/>
    <row r="288" ht="14.25" customHeight="1" s="41"/>
    <row r="289" ht="14.25" customHeight="1" s="41"/>
    <row r="290" ht="14.25" customHeight="1" s="41"/>
    <row r="291" ht="14.25" customHeight="1" s="41"/>
    <row r="292" ht="14.25" customHeight="1" s="41"/>
    <row r="293" ht="14.25" customHeight="1" s="41"/>
    <row r="294" ht="14.25" customHeight="1" s="41"/>
    <row r="295" ht="14.25" customHeight="1" s="41"/>
    <row r="296" ht="14.25" customHeight="1" s="41"/>
    <row r="297" ht="14.25" customHeight="1" s="41"/>
    <row r="298" ht="14.25" customHeight="1" s="41"/>
    <row r="299" ht="14.25" customHeight="1" s="41"/>
    <row r="300" ht="14.25" customHeight="1" s="41"/>
    <row r="301" ht="14.25" customHeight="1" s="41"/>
    <row r="302" ht="14.25" customHeight="1" s="41"/>
    <row r="303" ht="14.25" customHeight="1" s="41"/>
    <row r="304" ht="14.25" customHeight="1" s="41"/>
    <row r="305" ht="14.25" customHeight="1" s="41"/>
    <row r="306" ht="14.25" customHeight="1" s="41"/>
    <row r="307" ht="14.25" customHeight="1" s="41"/>
    <row r="308" ht="14.25" customHeight="1" s="41"/>
    <row r="309" ht="14.25" customHeight="1" s="41"/>
    <row r="310" ht="14.25" customHeight="1" s="41"/>
    <row r="311" ht="14.25" customHeight="1" s="41"/>
    <row r="312" ht="14.25" customHeight="1" s="41"/>
    <row r="313" ht="14.25" customHeight="1" s="41"/>
    <row r="314" ht="14.25" customHeight="1" s="41"/>
    <row r="315" ht="14.25" customHeight="1" s="41"/>
    <row r="316" ht="14.25" customHeight="1" s="41"/>
    <row r="317" ht="14.25" customHeight="1" s="41"/>
    <row r="318" ht="14.25" customHeight="1" s="41"/>
    <row r="319" ht="14.25" customHeight="1" s="41"/>
    <row r="320" ht="14.25" customHeight="1" s="41"/>
    <row r="321" ht="14.25" customHeight="1" s="41"/>
    <row r="322" ht="14.25" customHeight="1" s="41"/>
    <row r="323" ht="14.25" customHeight="1" s="41"/>
    <row r="324" ht="14.25" customHeight="1" s="41"/>
    <row r="325" ht="14.25" customHeight="1" s="41"/>
    <row r="326" ht="14.25" customHeight="1" s="41"/>
    <row r="327" ht="14.25" customHeight="1" s="41"/>
    <row r="328" ht="14.25" customHeight="1" s="41"/>
    <row r="329" ht="14.25" customHeight="1" s="41"/>
    <row r="330" ht="14.25" customHeight="1" s="41"/>
    <row r="331" ht="14.25" customHeight="1" s="41"/>
    <row r="332" ht="14.25" customHeight="1" s="41"/>
    <row r="333" ht="14.25" customHeight="1" s="41"/>
    <row r="334" ht="14.25" customHeight="1" s="41"/>
    <row r="335" ht="14.25" customHeight="1" s="41"/>
    <row r="336" ht="14.25" customHeight="1" s="41"/>
    <row r="337" ht="14.25" customHeight="1" s="41"/>
    <row r="338" ht="14.25" customHeight="1" s="41"/>
    <row r="339" ht="14.25" customHeight="1" s="41"/>
    <row r="340" ht="14.25" customHeight="1" s="41"/>
    <row r="341" ht="14.25" customHeight="1" s="41"/>
    <row r="342" ht="14.25" customHeight="1" s="41"/>
    <row r="343" ht="14.25" customHeight="1" s="41"/>
    <row r="344" ht="14.25" customHeight="1" s="41"/>
    <row r="345" ht="14.25" customHeight="1" s="41"/>
    <row r="346" ht="14.25" customHeight="1" s="41"/>
    <row r="347" ht="14.25" customHeight="1" s="41"/>
    <row r="348" ht="14.25" customHeight="1" s="41"/>
    <row r="349" ht="14.25" customHeight="1" s="41"/>
    <row r="350" ht="14.25" customHeight="1" s="41"/>
    <row r="351" ht="14.25" customHeight="1" s="41"/>
    <row r="352" ht="14.25" customHeight="1" s="41"/>
    <row r="353" ht="14.25" customHeight="1" s="41"/>
    <row r="354" ht="14.25" customHeight="1" s="41"/>
    <row r="355" ht="14.25" customHeight="1" s="41"/>
    <row r="356" ht="14.25" customHeight="1" s="41"/>
    <row r="357" ht="14.25" customHeight="1" s="41"/>
    <row r="358" ht="14.25" customHeight="1" s="41"/>
    <row r="359" ht="14.25" customHeight="1" s="41"/>
    <row r="360" ht="14.25" customHeight="1" s="41"/>
    <row r="361" ht="14.25" customHeight="1" s="41"/>
    <row r="362" ht="14.25" customHeight="1" s="41"/>
    <row r="363" ht="14.25" customHeight="1" s="41"/>
    <row r="364" ht="14.25" customHeight="1" s="41"/>
    <row r="365" ht="14.25" customHeight="1" s="41"/>
    <row r="366" ht="14.25" customHeight="1" s="41"/>
    <row r="367" ht="14.25" customHeight="1" s="41"/>
    <row r="368" ht="14.25" customHeight="1" s="41"/>
    <row r="369" ht="14.25" customHeight="1" s="41"/>
    <row r="370" ht="14.25" customHeight="1" s="41"/>
    <row r="371" ht="14.25" customHeight="1" s="41"/>
    <row r="372" ht="14.25" customHeight="1" s="41"/>
    <row r="373" ht="14.25" customHeight="1" s="41"/>
    <row r="374" ht="14.25" customHeight="1" s="41"/>
    <row r="375" ht="14.25" customHeight="1" s="41"/>
    <row r="376" ht="14.25" customHeight="1" s="41"/>
    <row r="377" ht="14.25" customHeight="1" s="41"/>
    <row r="378" ht="14.25" customHeight="1" s="41"/>
    <row r="379" ht="14.25" customHeight="1" s="41"/>
    <row r="380" ht="14.25" customHeight="1" s="41"/>
    <row r="381" ht="14.25" customHeight="1" s="41"/>
    <row r="382" ht="14.25" customHeight="1" s="41"/>
    <row r="383" ht="14.25" customHeight="1" s="41"/>
    <row r="384" ht="14.25" customHeight="1" s="41"/>
    <row r="385" ht="14.25" customHeight="1" s="41"/>
    <row r="386" ht="14.25" customHeight="1" s="41"/>
    <row r="387" ht="14.25" customHeight="1" s="41"/>
    <row r="388" ht="14.25" customHeight="1" s="41"/>
    <row r="389" ht="14.25" customHeight="1" s="41"/>
    <row r="390" ht="14.25" customHeight="1" s="41"/>
    <row r="391" ht="14.25" customHeight="1" s="41"/>
    <row r="392" ht="14.25" customHeight="1" s="41"/>
    <row r="393" ht="14.25" customHeight="1" s="41"/>
    <row r="394" ht="14.25" customHeight="1" s="41"/>
    <row r="395" ht="14.25" customHeight="1" s="41"/>
    <row r="396" ht="14.25" customHeight="1" s="41"/>
    <row r="397" ht="14.25" customHeight="1" s="41"/>
    <row r="398" ht="14.25" customHeight="1" s="41"/>
    <row r="399" ht="14.25" customHeight="1" s="41"/>
    <row r="400" ht="14.25" customHeight="1" s="41"/>
    <row r="401" ht="14.25" customHeight="1" s="41"/>
    <row r="402" ht="14.25" customHeight="1" s="41"/>
    <row r="403" ht="14.25" customHeight="1" s="41"/>
    <row r="404" ht="14.25" customHeight="1" s="41"/>
    <row r="405" ht="14.25" customHeight="1" s="41"/>
    <row r="406" ht="14.25" customHeight="1" s="41"/>
    <row r="407" ht="14.25" customHeight="1" s="41"/>
    <row r="408" ht="14.25" customHeight="1" s="41"/>
    <row r="409" ht="14.25" customHeight="1" s="41"/>
    <row r="410" ht="14.25" customHeight="1" s="41"/>
    <row r="411" ht="14.25" customHeight="1" s="41"/>
    <row r="412" ht="14.25" customHeight="1" s="41"/>
    <row r="413" ht="14.25" customHeight="1" s="41"/>
    <row r="414" ht="14.25" customHeight="1" s="41"/>
    <row r="415" ht="14.25" customHeight="1" s="41"/>
    <row r="416" ht="14.25" customHeight="1" s="41"/>
    <row r="417" ht="14.25" customHeight="1" s="41"/>
    <row r="418" ht="14.25" customHeight="1" s="41"/>
    <row r="419" ht="14.25" customHeight="1" s="41"/>
    <row r="420" ht="14.25" customHeight="1" s="41"/>
    <row r="421" ht="14.25" customHeight="1" s="41"/>
    <row r="422" ht="14.25" customHeight="1" s="41"/>
    <row r="423" ht="14.25" customHeight="1" s="41"/>
    <row r="424" ht="14.25" customHeight="1" s="41"/>
    <row r="425" ht="14.25" customHeight="1" s="41"/>
    <row r="426" ht="14.25" customHeight="1" s="41"/>
    <row r="427" ht="14.25" customHeight="1" s="41"/>
    <row r="428" ht="14.25" customHeight="1" s="41"/>
    <row r="429" ht="14.25" customHeight="1" s="41"/>
    <row r="430" ht="14.25" customHeight="1" s="41"/>
    <row r="431" ht="14.25" customHeight="1" s="41"/>
    <row r="432" ht="14.25" customHeight="1" s="41"/>
    <row r="433" ht="14.25" customHeight="1" s="41"/>
    <row r="434" ht="14.25" customHeight="1" s="41"/>
    <row r="435" ht="14.25" customHeight="1" s="41"/>
    <row r="436" ht="14.25" customHeight="1" s="41"/>
    <row r="437" ht="14.25" customHeight="1" s="41"/>
    <row r="438" ht="14.25" customHeight="1" s="41"/>
    <row r="439" ht="14.25" customHeight="1" s="41"/>
    <row r="440" ht="14.25" customHeight="1" s="41"/>
    <row r="441" ht="14.25" customHeight="1" s="41"/>
    <row r="442" ht="14.25" customHeight="1" s="41"/>
    <row r="443" ht="14.25" customHeight="1" s="41"/>
    <row r="444" ht="14.25" customHeight="1" s="41"/>
    <row r="445" ht="14.25" customHeight="1" s="41"/>
    <row r="446" ht="14.25" customHeight="1" s="41"/>
    <row r="447" ht="14.25" customHeight="1" s="41"/>
    <row r="448" ht="14.25" customHeight="1" s="41"/>
    <row r="449" ht="14.25" customHeight="1" s="41"/>
    <row r="450" ht="14.25" customHeight="1" s="41"/>
    <row r="451" ht="14.25" customHeight="1" s="41"/>
    <row r="452" ht="14.25" customHeight="1" s="41"/>
    <row r="453" ht="14.25" customHeight="1" s="41"/>
    <row r="454" ht="14.25" customHeight="1" s="41"/>
    <row r="455" ht="14.25" customHeight="1" s="41"/>
    <row r="456" ht="14.25" customHeight="1" s="41"/>
    <row r="457" ht="14.25" customHeight="1" s="41"/>
    <row r="458" ht="14.25" customHeight="1" s="41"/>
    <row r="459" ht="14.25" customHeight="1" s="41"/>
    <row r="460" ht="14.25" customHeight="1" s="41"/>
    <row r="461" ht="14.25" customHeight="1" s="41"/>
    <row r="462" ht="14.25" customHeight="1" s="41"/>
    <row r="463" ht="14.25" customHeight="1" s="41"/>
    <row r="464" ht="14.25" customHeight="1" s="41"/>
    <row r="465" ht="14.25" customHeight="1" s="41"/>
    <row r="466" ht="14.25" customHeight="1" s="41"/>
    <row r="467" ht="14.25" customHeight="1" s="41"/>
    <row r="468" ht="14.25" customHeight="1" s="41"/>
    <row r="469" ht="14.25" customHeight="1" s="41"/>
    <row r="470" ht="14.25" customHeight="1" s="41"/>
    <row r="471" ht="14.25" customHeight="1" s="41"/>
    <row r="472" ht="14.25" customHeight="1" s="41"/>
    <row r="473" ht="14.25" customHeight="1" s="41"/>
    <row r="474" ht="14.25" customHeight="1" s="41"/>
    <row r="475" ht="14.25" customHeight="1" s="41"/>
    <row r="476" ht="14.25" customHeight="1" s="41"/>
    <row r="477" ht="14.25" customHeight="1" s="41"/>
    <row r="478" ht="14.25" customHeight="1" s="41"/>
    <row r="479" ht="14.25" customHeight="1" s="41"/>
    <row r="480" ht="14.25" customHeight="1" s="41"/>
    <row r="481" ht="14.25" customHeight="1" s="41"/>
    <row r="482" ht="14.25" customHeight="1" s="41"/>
    <row r="483" ht="14.25" customHeight="1" s="41"/>
    <row r="484" ht="14.25" customHeight="1" s="41"/>
    <row r="485" ht="14.25" customHeight="1" s="41"/>
    <row r="486" ht="14.25" customHeight="1" s="41"/>
    <row r="487" ht="14.25" customHeight="1" s="41"/>
    <row r="488" ht="14.25" customHeight="1" s="41"/>
    <row r="489" ht="14.25" customHeight="1" s="41"/>
    <row r="490" ht="14.25" customHeight="1" s="41"/>
    <row r="491" ht="14.25" customHeight="1" s="41"/>
    <row r="492" ht="14.25" customHeight="1" s="41"/>
    <row r="493" ht="14.25" customHeight="1" s="41"/>
    <row r="494" ht="14.25" customHeight="1" s="41"/>
    <row r="495" ht="14.25" customHeight="1" s="41"/>
    <row r="496" ht="14.25" customHeight="1" s="41"/>
    <row r="497" ht="14.25" customHeight="1" s="41"/>
    <row r="498" ht="14.25" customHeight="1" s="41"/>
    <row r="499" ht="14.25" customHeight="1" s="41"/>
    <row r="500" ht="14.25" customHeight="1" s="41"/>
    <row r="501" ht="14.25" customHeight="1" s="41"/>
    <row r="502" ht="14.25" customHeight="1" s="41"/>
    <row r="503" ht="14.25" customHeight="1" s="41"/>
    <row r="504" ht="14.25" customHeight="1" s="41"/>
    <row r="505" ht="14.25" customHeight="1" s="41"/>
    <row r="506" ht="14.25" customHeight="1" s="41"/>
    <row r="507" ht="14.25" customHeight="1" s="41"/>
    <row r="508" ht="14.25" customHeight="1" s="41"/>
    <row r="509" ht="14.25" customHeight="1" s="41"/>
    <row r="510" ht="14.25" customHeight="1" s="41"/>
    <row r="511" ht="14.25" customHeight="1" s="41"/>
    <row r="512" ht="14.25" customHeight="1" s="41"/>
    <row r="513" ht="14.25" customHeight="1" s="41"/>
    <row r="514" ht="14.25" customHeight="1" s="41"/>
    <row r="515" ht="14.25" customHeight="1" s="41"/>
    <row r="516" ht="14.25" customHeight="1" s="41"/>
    <row r="517" ht="14.25" customHeight="1" s="41"/>
    <row r="518" ht="14.25" customHeight="1" s="41"/>
    <row r="519" ht="14.25" customHeight="1" s="41"/>
    <row r="520" ht="14.25" customHeight="1" s="41"/>
    <row r="521" ht="14.25" customHeight="1" s="41"/>
    <row r="522" ht="14.25" customHeight="1" s="41"/>
    <row r="523" ht="14.25" customHeight="1" s="41"/>
    <row r="524" ht="14.25" customHeight="1" s="41"/>
    <row r="525" ht="14.25" customHeight="1" s="41"/>
    <row r="526" ht="14.25" customHeight="1" s="41"/>
    <row r="527" ht="14.25" customHeight="1" s="41"/>
    <row r="528" ht="14.25" customHeight="1" s="41"/>
    <row r="529" ht="14.25" customHeight="1" s="41"/>
    <row r="530" ht="14.25" customHeight="1" s="41"/>
    <row r="531" ht="14.25" customHeight="1" s="41"/>
    <row r="532" ht="14.25" customHeight="1" s="41"/>
    <row r="533" ht="14.25" customHeight="1" s="41"/>
    <row r="534" ht="14.25" customHeight="1" s="41"/>
    <row r="535" ht="14.25" customHeight="1" s="41"/>
    <row r="536" ht="14.25" customHeight="1" s="41"/>
    <row r="537" ht="14.25" customHeight="1" s="41"/>
    <row r="538" ht="14.25" customHeight="1" s="41"/>
    <row r="539" ht="14.25" customHeight="1" s="41"/>
    <row r="540" ht="14.25" customHeight="1" s="41"/>
    <row r="541" ht="14.25" customHeight="1" s="41"/>
    <row r="542" ht="14.25" customHeight="1" s="41"/>
    <row r="543" ht="14.25" customHeight="1" s="41"/>
    <row r="544" ht="14.25" customHeight="1" s="41"/>
    <row r="545" ht="14.25" customHeight="1" s="41"/>
    <row r="546" ht="14.25" customHeight="1" s="41"/>
    <row r="547" ht="14.25" customHeight="1" s="41"/>
    <row r="548" ht="14.25" customHeight="1" s="41"/>
    <row r="549" ht="14.25" customHeight="1" s="41"/>
    <row r="550" ht="14.25" customHeight="1" s="41"/>
    <row r="551" ht="14.25" customHeight="1" s="41"/>
    <row r="552" ht="14.25" customHeight="1" s="41"/>
    <row r="553" ht="14.25" customHeight="1" s="41"/>
    <row r="554" ht="14.25" customHeight="1" s="41"/>
    <row r="555" ht="14.25" customHeight="1" s="41"/>
    <row r="556" ht="14.25" customHeight="1" s="41"/>
    <row r="557" ht="14.25" customHeight="1" s="41"/>
    <row r="558" ht="14.25" customHeight="1" s="41"/>
    <row r="559" ht="14.25" customHeight="1" s="41"/>
    <row r="560" ht="14.25" customHeight="1" s="41"/>
    <row r="561" ht="14.25" customHeight="1" s="41"/>
    <row r="562" ht="14.25" customHeight="1" s="41"/>
    <row r="563" ht="14.25" customHeight="1" s="41"/>
    <row r="564" ht="14.25" customHeight="1" s="41"/>
    <row r="565" ht="14.25" customHeight="1" s="41"/>
    <row r="566" ht="14.25" customHeight="1" s="41"/>
    <row r="567" ht="14.25" customHeight="1" s="41"/>
    <row r="568" ht="14.25" customHeight="1" s="41"/>
    <row r="569" ht="14.25" customHeight="1" s="41"/>
    <row r="570" ht="14.25" customHeight="1" s="41"/>
    <row r="571" ht="14.25" customHeight="1" s="41"/>
    <row r="572" ht="14.25" customHeight="1" s="41"/>
    <row r="573" ht="14.25" customHeight="1" s="41"/>
    <row r="574" ht="14.25" customHeight="1" s="41"/>
    <row r="575" ht="14.25" customHeight="1" s="41"/>
    <row r="576" ht="14.25" customHeight="1" s="41"/>
    <row r="577" ht="14.25" customHeight="1" s="41"/>
    <row r="578" ht="14.25" customHeight="1" s="41"/>
    <row r="579" ht="14.25" customHeight="1" s="41"/>
    <row r="580" ht="14.25" customHeight="1" s="41"/>
    <row r="581" ht="14.25" customHeight="1" s="41"/>
    <row r="582" ht="14.25" customHeight="1" s="41"/>
    <row r="583" ht="14.25" customHeight="1" s="41"/>
    <row r="584" ht="14.25" customHeight="1" s="41"/>
    <row r="585" ht="14.25" customHeight="1" s="41"/>
    <row r="586" ht="14.25" customHeight="1" s="41"/>
    <row r="587" ht="14.25" customHeight="1" s="41"/>
    <row r="588" ht="14.25" customHeight="1" s="41"/>
    <row r="589" ht="14.25" customHeight="1" s="41"/>
    <row r="590" ht="14.25" customHeight="1" s="41"/>
    <row r="591" ht="14.25" customHeight="1" s="41"/>
    <row r="592" ht="14.25" customHeight="1" s="41"/>
    <row r="593" ht="14.25" customHeight="1" s="41"/>
    <row r="594" ht="14.25" customHeight="1" s="41"/>
    <row r="595" ht="14.25" customHeight="1" s="41"/>
    <row r="596" ht="14.25" customHeight="1" s="41"/>
    <row r="597" ht="14.25" customHeight="1" s="41"/>
    <row r="598" ht="14.25" customHeight="1" s="41"/>
    <row r="599" ht="14.25" customHeight="1" s="41"/>
    <row r="600" ht="14.25" customHeight="1" s="41"/>
    <row r="601" ht="14.25" customHeight="1" s="41"/>
    <row r="602" ht="14.25" customHeight="1" s="41"/>
    <row r="603" ht="14.25" customHeight="1" s="41"/>
    <row r="604" ht="14.25" customHeight="1" s="41"/>
    <row r="605" ht="14.25" customHeight="1" s="41"/>
    <row r="606" ht="14.25" customHeight="1" s="41"/>
    <row r="607" ht="14.25" customHeight="1" s="41"/>
    <row r="608" ht="14.25" customHeight="1" s="41"/>
    <row r="609" ht="14.25" customHeight="1" s="41"/>
    <row r="610" ht="14.25" customHeight="1" s="41"/>
    <row r="611" ht="14.25" customHeight="1" s="41"/>
    <row r="612" ht="14.25" customHeight="1" s="41"/>
    <row r="613" ht="14.25" customHeight="1" s="41"/>
    <row r="614" ht="14.25" customHeight="1" s="41"/>
    <row r="615" ht="14.25" customHeight="1" s="41"/>
    <row r="616" ht="14.25" customHeight="1" s="41"/>
    <row r="617" ht="14.25" customHeight="1" s="41"/>
    <row r="618" ht="14.25" customHeight="1" s="41"/>
    <row r="619" ht="14.25" customHeight="1" s="41"/>
    <row r="620" ht="14.25" customHeight="1" s="41"/>
    <row r="621" ht="14.25" customHeight="1" s="41"/>
    <row r="622" ht="14.25" customHeight="1" s="41"/>
    <row r="623" ht="14.25" customHeight="1" s="41"/>
    <row r="624" ht="14.25" customHeight="1" s="41"/>
    <row r="625" ht="14.25" customHeight="1" s="41"/>
    <row r="626" ht="14.25" customHeight="1" s="41"/>
    <row r="627" ht="14.25" customHeight="1" s="41"/>
    <row r="628" ht="14.25" customHeight="1" s="41"/>
    <row r="629" ht="14.25" customHeight="1" s="41"/>
    <row r="630" ht="14.25" customHeight="1" s="41"/>
    <row r="631" ht="14.25" customHeight="1" s="41"/>
    <row r="632" ht="14.25" customHeight="1" s="41"/>
    <row r="633" ht="14.25" customHeight="1" s="41"/>
    <row r="634" ht="14.25" customHeight="1" s="41"/>
    <row r="635" ht="14.25" customHeight="1" s="41"/>
    <row r="636" ht="14.25" customHeight="1" s="41"/>
    <row r="637" ht="14.25" customHeight="1" s="41"/>
    <row r="638" ht="14.25" customHeight="1" s="41"/>
    <row r="639" ht="14.25" customHeight="1" s="41"/>
    <row r="640" ht="14.25" customHeight="1" s="41"/>
    <row r="641" ht="14.25" customHeight="1" s="41"/>
    <row r="642" ht="14.25" customHeight="1" s="41"/>
    <row r="643" ht="14.25" customHeight="1" s="41"/>
    <row r="644" ht="14.25" customHeight="1" s="41"/>
    <row r="645" ht="14.25" customHeight="1" s="41"/>
    <row r="646" ht="14.25" customHeight="1" s="41"/>
    <row r="647" ht="14.25" customHeight="1" s="41"/>
    <row r="648" ht="14.25" customHeight="1" s="41"/>
    <row r="649" ht="14.25" customHeight="1" s="41"/>
    <row r="650" ht="14.25" customHeight="1" s="41"/>
    <row r="651" ht="14.25" customHeight="1" s="41"/>
    <row r="652" ht="14.25" customHeight="1" s="41"/>
    <row r="653" ht="14.25" customHeight="1" s="41"/>
    <row r="654" ht="14.25" customHeight="1" s="41"/>
    <row r="655" ht="14.25" customHeight="1" s="41"/>
    <row r="656" ht="14.25" customHeight="1" s="41"/>
    <row r="657" ht="14.25" customHeight="1" s="41"/>
    <row r="658" ht="14.25" customHeight="1" s="41"/>
    <row r="659" ht="14.25" customHeight="1" s="41"/>
    <row r="660" ht="14.25" customHeight="1" s="41"/>
    <row r="661" ht="14.25" customHeight="1" s="41"/>
    <row r="662" ht="14.25" customHeight="1" s="41"/>
    <row r="663" ht="14.25" customHeight="1" s="41"/>
    <row r="664" ht="14.25" customHeight="1" s="41"/>
    <row r="665" ht="14.25" customHeight="1" s="41"/>
    <row r="666" ht="14.25" customHeight="1" s="41"/>
    <row r="667" ht="14.25" customHeight="1" s="41"/>
    <row r="668" ht="14.25" customHeight="1" s="41"/>
    <row r="669" ht="14.25" customHeight="1" s="41"/>
    <row r="670" ht="14.25" customHeight="1" s="41"/>
    <row r="671" ht="14.25" customHeight="1" s="41"/>
    <row r="672" ht="14.25" customHeight="1" s="41"/>
    <row r="673" ht="14.25" customHeight="1" s="41"/>
    <row r="674" ht="14.25" customHeight="1" s="41"/>
    <row r="675" ht="14.25" customHeight="1" s="41"/>
    <row r="676" ht="14.25" customHeight="1" s="41"/>
    <row r="677" ht="14.25" customHeight="1" s="41"/>
    <row r="678" ht="14.25" customHeight="1" s="41"/>
    <row r="679" ht="14.25" customHeight="1" s="41"/>
    <row r="680" ht="14.25" customHeight="1" s="41"/>
    <row r="681" ht="14.25" customHeight="1" s="41"/>
    <row r="682" ht="14.25" customHeight="1" s="41"/>
    <row r="683" ht="14.25" customHeight="1" s="41"/>
    <row r="684" ht="14.25" customHeight="1" s="41"/>
    <row r="685" ht="14.25" customHeight="1" s="41"/>
    <row r="686" ht="14.25" customHeight="1" s="41"/>
    <row r="687" ht="14.25" customHeight="1" s="41"/>
    <row r="688" ht="14.25" customHeight="1" s="41"/>
    <row r="689" ht="14.25" customHeight="1" s="41"/>
    <row r="690" ht="14.25" customHeight="1" s="41"/>
    <row r="691" ht="14.25" customHeight="1" s="41"/>
    <row r="692" ht="14.25" customHeight="1" s="41"/>
    <row r="693" ht="14.25" customHeight="1" s="41"/>
    <row r="694" ht="14.25" customHeight="1" s="41"/>
    <row r="695" ht="14.25" customHeight="1" s="41"/>
    <row r="696" ht="14.25" customHeight="1" s="41"/>
    <row r="697" ht="14.25" customHeight="1" s="41"/>
    <row r="698" ht="14.25" customHeight="1" s="41"/>
    <row r="699" ht="14.25" customHeight="1" s="41"/>
    <row r="700" ht="14.25" customHeight="1" s="41"/>
    <row r="701" ht="14.25" customHeight="1" s="41"/>
    <row r="702" ht="14.25" customHeight="1" s="41"/>
    <row r="703" ht="14.25" customHeight="1" s="41"/>
    <row r="704" ht="14.25" customHeight="1" s="41"/>
    <row r="705" ht="14.25" customHeight="1" s="41"/>
    <row r="706" ht="14.25" customHeight="1" s="41"/>
    <row r="707" ht="14.25" customHeight="1" s="41"/>
    <row r="708" ht="14.25" customHeight="1" s="41"/>
    <row r="709" ht="14.25" customHeight="1" s="41"/>
    <row r="710" ht="14.25" customHeight="1" s="41"/>
    <row r="711" ht="14.25" customHeight="1" s="41"/>
    <row r="712" ht="14.25" customHeight="1" s="41"/>
    <row r="713" ht="14.25" customHeight="1" s="41"/>
    <row r="714" ht="14.25" customHeight="1" s="41"/>
    <row r="715" ht="14.25" customHeight="1" s="41"/>
    <row r="716" ht="14.25" customHeight="1" s="41"/>
    <row r="717" ht="14.25" customHeight="1" s="41"/>
    <row r="718" ht="14.25" customHeight="1" s="41"/>
    <row r="719" ht="14.25" customHeight="1" s="41"/>
    <row r="720" ht="14.25" customHeight="1" s="41"/>
    <row r="721" ht="14.25" customHeight="1" s="41"/>
    <row r="722" ht="14.25" customHeight="1" s="41"/>
    <row r="723" ht="14.25" customHeight="1" s="41"/>
    <row r="724" ht="14.25" customHeight="1" s="41"/>
    <row r="725" ht="14.25" customHeight="1" s="41"/>
    <row r="726" ht="14.25" customHeight="1" s="41"/>
    <row r="727" ht="14.25" customHeight="1" s="41"/>
    <row r="728" ht="14.25" customHeight="1" s="41"/>
    <row r="729" ht="14.25" customHeight="1" s="41"/>
    <row r="730" ht="14.25" customHeight="1" s="41"/>
    <row r="731" ht="14.25" customHeight="1" s="41"/>
    <row r="732" ht="14.25" customHeight="1" s="41"/>
    <row r="733" ht="14.25" customHeight="1" s="41"/>
    <row r="734" ht="14.25" customHeight="1" s="41"/>
    <row r="735" ht="14.25" customHeight="1" s="41"/>
    <row r="736" ht="14.25" customHeight="1" s="41"/>
    <row r="737" ht="14.25" customHeight="1" s="41"/>
    <row r="738" ht="14.25" customHeight="1" s="41"/>
    <row r="739" ht="14.25" customHeight="1" s="41"/>
    <row r="740" ht="14.25" customHeight="1" s="41"/>
    <row r="741" ht="14.25" customHeight="1" s="41"/>
    <row r="742" ht="14.25" customHeight="1" s="41"/>
    <row r="743" ht="14.25" customHeight="1" s="41"/>
    <row r="744" ht="14.25" customHeight="1" s="41"/>
    <row r="745" ht="14.25" customHeight="1" s="41"/>
    <row r="746" ht="14.25" customHeight="1" s="41"/>
    <row r="747" ht="14.25" customHeight="1" s="41"/>
    <row r="748" ht="14.25" customHeight="1" s="41"/>
    <row r="749" ht="14.25" customHeight="1" s="41"/>
    <row r="750" ht="14.25" customHeight="1" s="41"/>
    <row r="751" ht="14.25" customHeight="1" s="41"/>
    <row r="752" ht="14.25" customHeight="1" s="41"/>
    <row r="753" ht="14.25" customHeight="1" s="41"/>
    <row r="754" ht="14.25" customHeight="1" s="41"/>
    <row r="755" ht="14.25" customHeight="1" s="41"/>
    <row r="756" ht="14.25" customHeight="1" s="41"/>
    <row r="757" ht="14.25" customHeight="1" s="41"/>
    <row r="758" ht="14.25" customHeight="1" s="41"/>
    <row r="759" ht="14.25" customHeight="1" s="41"/>
    <row r="760" ht="14.25" customHeight="1" s="41"/>
    <row r="761" ht="14.25" customHeight="1" s="41"/>
    <row r="762" ht="14.25" customHeight="1" s="41"/>
    <row r="763" ht="14.25" customHeight="1" s="41"/>
    <row r="764" ht="14.25" customHeight="1" s="41"/>
    <row r="765" ht="14.25" customHeight="1" s="41"/>
    <row r="766" ht="14.25" customHeight="1" s="41"/>
    <row r="767" ht="14.25" customHeight="1" s="41"/>
    <row r="768" ht="14.25" customHeight="1" s="41"/>
    <row r="769" ht="14.25" customHeight="1" s="41"/>
    <row r="770" ht="14.25" customHeight="1" s="41"/>
    <row r="771" ht="14.25" customHeight="1" s="41"/>
    <row r="772" ht="14.25" customHeight="1" s="41"/>
    <row r="773" ht="14.25" customHeight="1" s="41"/>
    <row r="774" ht="14.25" customHeight="1" s="41"/>
    <row r="775" ht="14.25" customHeight="1" s="41"/>
    <row r="776" ht="14.25" customHeight="1" s="41"/>
    <row r="777" ht="14.25" customHeight="1" s="41"/>
    <row r="778" ht="14.25" customHeight="1" s="41"/>
    <row r="779" ht="14.25" customHeight="1" s="41"/>
    <row r="780" ht="14.25" customHeight="1" s="41"/>
    <row r="781" ht="14.25" customHeight="1" s="41"/>
    <row r="782" ht="14.25" customHeight="1" s="41"/>
    <row r="783" ht="14.25" customHeight="1" s="41"/>
    <row r="784" ht="14.25" customHeight="1" s="41"/>
    <row r="785" ht="14.25" customHeight="1" s="41"/>
    <row r="786" ht="14.25" customHeight="1" s="41"/>
    <row r="787" ht="14.25" customHeight="1" s="41"/>
    <row r="788" ht="14.25" customHeight="1" s="41"/>
    <row r="789" ht="14.25" customHeight="1" s="41"/>
    <row r="790" ht="14.25" customHeight="1" s="41"/>
    <row r="791" ht="14.25" customHeight="1" s="41"/>
    <row r="792" ht="14.25" customHeight="1" s="41"/>
    <row r="793" ht="14.25" customHeight="1" s="41"/>
    <row r="794" ht="14.25" customHeight="1" s="41"/>
    <row r="795" ht="14.25" customHeight="1" s="41"/>
    <row r="796" ht="14.25" customHeight="1" s="41"/>
    <row r="797" ht="14.25" customHeight="1" s="41"/>
    <row r="798" ht="14.25" customHeight="1" s="41"/>
    <row r="799" ht="14.25" customHeight="1" s="41"/>
    <row r="800" ht="14.25" customHeight="1" s="41"/>
    <row r="801" ht="14.25" customHeight="1" s="41"/>
    <row r="802" ht="14.25" customHeight="1" s="41"/>
    <row r="803" ht="14.25" customHeight="1" s="41"/>
    <row r="804" ht="14.25" customHeight="1" s="41"/>
    <row r="805" ht="14.25" customHeight="1" s="41"/>
    <row r="806" ht="14.25" customHeight="1" s="41"/>
    <row r="807" ht="14.25" customHeight="1" s="41"/>
    <row r="808" ht="14.25" customHeight="1" s="41"/>
    <row r="809" ht="14.25" customHeight="1" s="41"/>
    <row r="810" ht="14.25" customHeight="1" s="41"/>
    <row r="811" ht="14.25" customHeight="1" s="41"/>
    <row r="812" ht="14.25" customHeight="1" s="41"/>
    <row r="813" ht="14.25" customHeight="1" s="41"/>
    <row r="814" ht="14.25" customHeight="1" s="41"/>
    <row r="815" ht="14.25" customHeight="1" s="41"/>
    <row r="816" ht="14.25" customHeight="1" s="41"/>
    <row r="817" ht="14.25" customHeight="1" s="41"/>
    <row r="818" ht="14.25" customHeight="1" s="41"/>
    <row r="819" ht="14.25" customHeight="1" s="41"/>
    <row r="820" ht="14.25" customHeight="1" s="41"/>
    <row r="821" ht="14.25" customHeight="1" s="41"/>
    <row r="822" ht="14.25" customHeight="1" s="41"/>
    <row r="823" ht="14.25" customHeight="1" s="41"/>
    <row r="824" ht="14.25" customHeight="1" s="41"/>
    <row r="825" ht="14.25" customHeight="1" s="41"/>
    <row r="826" ht="14.25" customHeight="1" s="41"/>
    <row r="827" ht="14.25" customHeight="1" s="41"/>
    <row r="828" ht="14.25" customHeight="1" s="41"/>
    <row r="829" ht="14.25" customHeight="1" s="41"/>
    <row r="830" ht="14.25" customHeight="1" s="41"/>
    <row r="831" ht="14.25" customHeight="1" s="41"/>
    <row r="832" ht="14.25" customHeight="1" s="41"/>
    <row r="833" ht="14.25" customHeight="1" s="41"/>
    <row r="834" ht="14.25" customHeight="1" s="41"/>
    <row r="835" ht="14.25" customHeight="1" s="41"/>
    <row r="836" ht="14.25" customHeight="1" s="41"/>
    <row r="837" ht="14.25" customHeight="1" s="41"/>
    <row r="838" ht="14.25" customHeight="1" s="41"/>
    <row r="839" ht="14.25" customHeight="1" s="41"/>
    <row r="840" ht="14.25" customHeight="1" s="41"/>
    <row r="841" ht="14.25" customHeight="1" s="41"/>
    <row r="842" ht="14.25" customHeight="1" s="41"/>
    <row r="843" ht="14.25" customHeight="1" s="41"/>
    <row r="844" ht="14.25" customHeight="1" s="41"/>
    <row r="845" ht="14.25" customHeight="1" s="41"/>
    <row r="846" ht="14.25" customHeight="1" s="41"/>
    <row r="847" ht="14.25" customHeight="1" s="41"/>
    <row r="848" ht="14.25" customHeight="1" s="41"/>
    <row r="849" ht="14.25" customHeight="1" s="41"/>
    <row r="850" ht="14.25" customHeight="1" s="41"/>
    <row r="851" ht="14.25" customHeight="1" s="41"/>
    <row r="852" ht="14.25" customHeight="1" s="41"/>
    <row r="853" ht="14.25" customHeight="1" s="41"/>
    <row r="854" ht="14.25" customHeight="1" s="41"/>
    <row r="855" ht="14.25" customHeight="1" s="41"/>
    <row r="856" ht="14.25" customHeight="1" s="41"/>
    <row r="857" ht="14.25" customHeight="1" s="41"/>
    <row r="858" ht="14.25" customHeight="1" s="41"/>
    <row r="859" ht="14.25" customHeight="1" s="41"/>
    <row r="860" ht="14.25" customHeight="1" s="41"/>
    <row r="861" ht="14.25" customHeight="1" s="41"/>
    <row r="862" ht="14.25" customHeight="1" s="41"/>
    <row r="863" ht="14.25" customHeight="1" s="41"/>
    <row r="864" ht="14.25" customHeight="1" s="41"/>
    <row r="865" ht="14.25" customHeight="1" s="41"/>
    <row r="866" ht="14.25" customHeight="1" s="41"/>
    <row r="867" ht="14.25" customHeight="1" s="41"/>
    <row r="868" ht="14.25" customHeight="1" s="41"/>
    <row r="869" ht="14.25" customHeight="1" s="41"/>
    <row r="870" ht="14.25" customHeight="1" s="41"/>
    <row r="871" ht="14.25" customHeight="1" s="41"/>
    <row r="872" ht="14.25" customHeight="1" s="41"/>
    <row r="873" ht="14.25" customHeight="1" s="41"/>
    <row r="874" ht="14.25" customHeight="1" s="41"/>
    <row r="875" ht="14.25" customHeight="1" s="41"/>
    <row r="876" ht="14.25" customHeight="1" s="41"/>
    <row r="877" ht="14.25" customHeight="1" s="41"/>
    <row r="878" ht="14.25" customHeight="1" s="41"/>
    <row r="879" ht="14.25" customHeight="1" s="41"/>
    <row r="880" ht="14.25" customHeight="1" s="41"/>
    <row r="881" ht="14.25" customHeight="1" s="41"/>
    <row r="882" ht="14.25" customHeight="1" s="41"/>
    <row r="883" ht="14.25" customHeight="1" s="41"/>
    <row r="884" ht="14.25" customHeight="1" s="41"/>
    <row r="885" ht="14.25" customHeight="1" s="41"/>
    <row r="886" ht="14.25" customHeight="1" s="41"/>
    <row r="887" ht="14.25" customHeight="1" s="41"/>
    <row r="888" ht="14.25" customHeight="1" s="41"/>
    <row r="889" ht="14.25" customHeight="1" s="41"/>
    <row r="890" ht="14.25" customHeight="1" s="41"/>
    <row r="891" ht="14.25" customHeight="1" s="41"/>
    <row r="892" ht="14.25" customHeight="1" s="41"/>
    <row r="893" ht="14.25" customHeight="1" s="41"/>
    <row r="894" ht="14.25" customHeight="1" s="41"/>
    <row r="895" ht="14.25" customHeight="1" s="41"/>
    <row r="896" ht="14.25" customHeight="1" s="41"/>
    <row r="897" ht="14.25" customHeight="1" s="41"/>
    <row r="898" ht="14.25" customHeight="1" s="41"/>
    <row r="899" ht="14.25" customHeight="1" s="41"/>
    <row r="900" ht="14.25" customHeight="1" s="41"/>
    <row r="901" ht="14.25" customHeight="1" s="41"/>
    <row r="902" ht="14.25" customHeight="1" s="41"/>
    <row r="903" ht="14.25" customHeight="1" s="41"/>
    <row r="904" ht="14.25" customHeight="1" s="41"/>
    <row r="905" ht="14.25" customHeight="1" s="41"/>
    <row r="906" ht="14.25" customHeight="1" s="41"/>
    <row r="907" ht="14.25" customHeight="1" s="41"/>
    <row r="908" ht="14.25" customHeight="1" s="41"/>
    <row r="909" ht="14.25" customHeight="1" s="41"/>
    <row r="910" ht="14.25" customHeight="1" s="41"/>
    <row r="911" ht="14.25" customHeight="1" s="41"/>
    <row r="912" ht="14.25" customHeight="1" s="41"/>
    <row r="913" ht="14.25" customHeight="1" s="41"/>
    <row r="914" ht="14.25" customHeight="1" s="41"/>
    <row r="915" ht="14.25" customHeight="1" s="41"/>
    <row r="916" ht="14.25" customHeight="1" s="41"/>
    <row r="917" ht="14.25" customHeight="1" s="41"/>
    <row r="918" ht="14.25" customHeight="1" s="41"/>
    <row r="919" ht="14.25" customHeight="1" s="41"/>
    <row r="920" ht="14.25" customHeight="1" s="41"/>
    <row r="921" ht="14.25" customHeight="1" s="41"/>
    <row r="922" ht="14.25" customHeight="1" s="41"/>
    <row r="923" ht="14.25" customHeight="1" s="41"/>
    <row r="924" ht="14.25" customHeight="1" s="41"/>
    <row r="925" ht="14.25" customHeight="1" s="41"/>
    <row r="926" ht="14.25" customHeight="1" s="41"/>
    <row r="927" ht="14.25" customHeight="1" s="41"/>
    <row r="928" ht="14.25" customHeight="1" s="41"/>
    <row r="929" ht="14.25" customHeight="1" s="41"/>
    <row r="930" ht="14.25" customHeight="1" s="41"/>
    <row r="931" ht="14.25" customHeight="1" s="41"/>
    <row r="932" ht="14.25" customHeight="1" s="41"/>
    <row r="933" ht="14.25" customHeight="1" s="41"/>
    <row r="934" ht="14.25" customHeight="1" s="41"/>
    <row r="935" ht="14.25" customHeight="1" s="41"/>
    <row r="936" ht="14.25" customHeight="1" s="41"/>
    <row r="937" ht="14.25" customHeight="1" s="41"/>
    <row r="938" ht="14.25" customHeight="1" s="41"/>
    <row r="939" ht="14.25" customHeight="1" s="41"/>
    <row r="940" ht="14.25" customHeight="1" s="41"/>
    <row r="941" ht="14.25" customHeight="1" s="41"/>
    <row r="942" ht="14.25" customHeight="1" s="41"/>
    <row r="943" ht="14.25" customHeight="1" s="41"/>
    <row r="944" ht="14.25" customHeight="1" s="41"/>
    <row r="945" ht="14.25" customHeight="1" s="41"/>
    <row r="946" ht="14.25" customHeight="1" s="41"/>
    <row r="947" ht="14.25" customHeight="1" s="41"/>
    <row r="948" ht="14.25" customHeight="1" s="41"/>
    <row r="949" ht="14.25" customHeight="1" s="41"/>
    <row r="950" ht="14.25" customHeight="1" s="41"/>
    <row r="951" ht="14.25" customHeight="1" s="41"/>
    <row r="952" ht="14.25" customHeight="1" s="41"/>
    <row r="953" ht="14.25" customHeight="1" s="41"/>
    <row r="954" ht="14.25" customHeight="1" s="41"/>
    <row r="955" ht="14.25" customHeight="1" s="41"/>
    <row r="956" ht="14.25" customHeight="1" s="41"/>
    <row r="957" ht="14.25" customHeight="1" s="41"/>
    <row r="958" ht="14.25" customHeight="1" s="41"/>
    <row r="959" ht="14.25" customHeight="1" s="41"/>
    <row r="960" ht="14.25" customHeight="1" s="41"/>
    <row r="961" ht="14.25" customHeight="1" s="41"/>
    <row r="962" ht="14.25" customHeight="1" s="41"/>
    <row r="963" ht="14.25" customHeight="1" s="41"/>
    <row r="964" ht="14.25" customHeight="1" s="41"/>
    <row r="965" ht="14.25" customHeight="1" s="41"/>
    <row r="966" ht="14.25" customHeight="1" s="41"/>
    <row r="967" ht="14.25" customHeight="1" s="41"/>
    <row r="968" ht="14.25" customHeight="1" s="41"/>
    <row r="969" ht="14.25" customHeight="1" s="41"/>
    <row r="970" ht="14.25" customHeight="1" s="41"/>
    <row r="971" ht="14.25" customHeight="1" s="41"/>
    <row r="972" ht="14.25" customHeight="1" s="41"/>
    <row r="973" ht="14.25" customHeight="1" s="41"/>
    <row r="974" ht="14.25" customHeight="1" s="41"/>
    <row r="975" ht="14.25" customHeight="1" s="41"/>
    <row r="976" ht="14.25" customHeight="1" s="41"/>
    <row r="977" ht="14.25" customHeight="1" s="41"/>
    <row r="978" ht="14.25" customHeight="1" s="41"/>
    <row r="979" ht="14.25" customHeight="1" s="41"/>
    <row r="980" ht="14.25" customHeight="1" s="41"/>
    <row r="981" ht="14.25" customHeight="1" s="41"/>
    <row r="982" ht="14.25" customHeight="1" s="41"/>
    <row r="983" ht="14.25" customHeight="1" s="41"/>
    <row r="984" ht="14.25" customHeight="1" s="41"/>
    <row r="985" ht="14.25" customHeight="1" s="41"/>
  </sheetData>
  <mergeCells count="1">
    <mergeCell ref="A1:I1"/>
  </mergeCells>
  <dataValidations count="2">
    <dataValidation sqref="H4:H79" showErrorMessage="1" showInputMessage="1" allowBlank="1" type="list">
      <formula1>"◯,×"</formula1>
    </dataValidation>
    <dataValidation sqref="G5:G79" showErrorMessage="1" showInputMessage="1" allowBlank="1" prompt="入力エラー - 0以上の整数を入力してください。" type="decimal" operator="greaterThanOrEqual">
      <formula1>0.0</formula1>
    </dataValidation>
  </dataValidations>
  <pageMargins left="0.75" right="0.75" top="1" bottom="1" header="0" footer="0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9.140000000000001" customWidth="1" style="41" min="1" max="2"/>
    <col width="10.86" customWidth="1" style="41" min="3" max="3"/>
    <col width="41.86" customWidth="1" style="41" min="4" max="4"/>
    <col width="29.14" customWidth="1" style="41" min="5" max="5"/>
    <col width="24" customWidth="1" style="41" min="7" max="8"/>
    <col hidden="1" width="24" customWidth="1" style="41" min="9" max="9"/>
    <col width="24" customWidth="1" style="41" min="10" max="10"/>
    <col hidden="1" width="20" customWidth="1" style="41" min="11" max="11"/>
    <col width="7.86" customWidth="1" style="41" min="12" max="26"/>
  </cols>
  <sheetData>
    <row r="1" ht="25.5" customHeight="1" s="41">
      <c r="A1" s="1" t="inlineStr">
        <is>
          <t>チェックリスト — 回収ファイル一覧</t>
        </is>
      </c>
    </row>
    <row r="2" ht="14.25" customHeight="1" s="41"/>
    <row r="3" ht="30" customHeight="1" s="41">
      <c r="A3" s="6" t="inlineStr">
        <is>
          <t>ラウンド</t>
        </is>
      </c>
      <c r="B3" s="6" t="inlineStr">
        <is>
          <t>セッション(Day)</t>
        </is>
      </c>
      <c r="C3" s="6" t="inlineStr">
        <is>
          <t>実施日</t>
        </is>
      </c>
      <c r="D3" s="6" t="inlineStr">
        <is>
          <t>記録ファイル名</t>
        </is>
      </c>
      <c r="E3" s="6" t="inlineStr">
        <is>
          <t>画面録画ファイル名</t>
        </is>
      </c>
      <c r="F3" s="6" t="inlineStr">
        <is>
          <t>開発チームへ送付</t>
        </is>
      </c>
      <c r="G3" s="34" t="inlineStr">
        <is>
          <t>高齢者役_環境（場所・部屋）</t>
        </is>
      </c>
      <c r="H3" s="34" t="inlineStr">
        <is>
          <t>高齢者役_マイク／イヤホン機種</t>
        </is>
      </c>
      <c r="I3" s="14" t="inlineStr">
        <is>
          <t>家族役_環境（場所・部屋）</t>
        </is>
      </c>
      <c r="J3" s="14" t="inlineStr">
        <is>
          <t>家族役_マイク／イヤホン機種</t>
        </is>
      </c>
      <c r="K3" s="14" t="inlineStr">
        <is>
          <t>キー（自動・触らないで）</t>
        </is>
      </c>
    </row>
    <row r="4" ht="15" customHeight="1" s="41">
      <c r="A4" s="31" t="n">
        <v>1</v>
      </c>
      <c r="B4" s="31" t="n">
        <v>1</v>
      </c>
      <c r="C4" s="31" t="n"/>
      <c r="D4" s="32" t="n"/>
      <c r="E4" s="32" t="n"/>
      <c r="F4" s="31" t="n"/>
      <c r="G4" s="35" t="inlineStr">
        <is>
          <t>例: 自宅リビング（静か）</t>
        </is>
      </c>
      <c r="H4" s="35" t="inlineStr">
        <is>
          <t>例: PC内蔵マイク</t>
        </is>
      </c>
      <c r="I4" s="35" t="inlineStr">
        <is>
          <t>例: 会社の会議室</t>
        </is>
      </c>
      <c r="J4" s="35" t="inlineStr">
        <is>
          <t>例: AirPods Pro</t>
        </is>
      </c>
      <c r="K4" s="11">
        <f>A4&amp;"-"&amp;B4</f>
        <v/>
      </c>
    </row>
    <row r="5" ht="15" customHeight="1" s="41">
      <c r="A5" s="31" t="n">
        <v>1</v>
      </c>
      <c r="B5" s="31" t="n">
        <v>2</v>
      </c>
      <c r="C5" s="31" t="n"/>
      <c r="D5" s="32" t="n"/>
      <c r="E5" s="32" t="n"/>
      <c r="F5" s="31" t="n"/>
      <c r="I5" s="11">
        <f>A5&amp;"-"&amp;B5</f>
        <v/>
      </c>
      <c r="K5" s="11">
        <f>A5&amp;"-"&amp;B5</f>
        <v/>
      </c>
    </row>
    <row r="6" ht="15" customHeight="1" s="41">
      <c r="A6" s="31" t="n">
        <v>1</v>
      </c>
      <c r="B6" s="31" t="n">
        <v>3</v>
      </c>
      <c r="C6" s="31" t="n"/>
      <c r="D6" s="32" t="n"/>
      <c r="E6" s="32" t="n"/>
      <c r="F6" s="31" t="n"/>
      <c r="I6" s="11">
        <f>A6&amp;"-"&amp;B6</f>
        <v/>
      </c>
      <c r="K6" s="11">
        <f>A6&amp;"-"&amp;B6</f>
        <v/>
      </c>
    </row>
    <row r="7" ht="15" customHeight="1" s="41">
      <c r="A7" s="31" t="n">
        <v>2</v>
      </c>
      <c r="B7" s="31" t="n">
        <v>1</v>
      </c>
      <c r="C7" s="31" t="n"/>
      <c r="D7" s="32" t="n"/>
      <c r="E7" s="32" t="n"/>
      <c r="F7" s="31" t="n"/>
      <c r="I7" s="11">
        <f>A7&amp;"-"&amp;B7</f>
        <v/>
      </c>
      <c r="K7" s="11">
        <f>A7&amp;"-"&amp;B7</f>
        <v/>
      </c>
    </row>
    <row r="8" ht="15" customHeight="1" s="41">
      <c r="A8" s="31" t="n">
        <v>2</v>
      </c>
      <c r="B8" s="31" t="n">
        <v>2</v>
      </c>
      <c r="C8" s="31" t="n"/>
      <c r="D8" s="32" t="n"/>
      <c r="E8" s="32" t="n"/>
      <c r="F8" s="31" t="n"/>
      <c r="I8" s="11">
        <f>A8&amp;"-"&amp;B8</f>
        <v/>
      </c>
      <c r="K8" s="11">
        <f>A8&amp;"-"&amp;B8</f>
        <v/>
      </c>
    </row>
    <row r="9" ht="15" customHeight="1" s="41">
      <c r="A9" s="31" t="n">
        <v>2</v>
      </c>
      <c r="B9" s="31" t="n">
        <v>3</v>
      </c>
      <c r="C9" s="31" t="n"/>
      <c r="D9" s="32" t="n"/>
      <c r="E9" s="32" t="n"/>
      <c r="F9" s="31" t="n"/>
      <c r="I9" s="11">
        <f>A9&amp;"-"&amp;B9</f>
        <v/>
      </c>
      <c r="K9" s="11">
        <f>A9&amp;"-"&amp;B9</f>
        <v/>
      </c>
    </row>
    <row r="10" ht="15" customHeight="1" s="41">
      <c r="A10" s="31" t="n"/>
      <c r="B10" s="31" t="n"/>
      <c r="C10" s="31" t="n"/>
      <c r="D10" s="32" t="n"/>
      <c r="E10" s="32" t="n"/>
      <c r="F10" s="31" t="n"/>
    </row>
    <row r="11" ht="15" customHeight="1" s="41">
      <c r="A11" s="31" t="n"/>
      <c r="B11" s="31" t="n"/>
      <c r="C11" s="31" t="n"/>
      <c r="D11" s="32" t="n"/>
      <c r="E11" s="32" t="n"/>
      <c r="F11" s="31" t="n"/>
    </row>
    <row r="12" ht="14.25" customHeight="1" s="41"/>
    <row r="13" ht="14.25" customHeight="1" s="41"/>
    <row r="14" ht="14.25" customHeight="1" s="41"/>
    <row r="15" ht="14.25" customHeight="1" s="41"/>
    <row r="16" ht="14.25" customHeight="1" s="41"/>
    <row r="17" ht="14.25" customHeight="1" s="41"/>
    <row r="18" ht="14.25" customHeight="1" s="41"/>
    <row r="19" ht="14.25" customHeight="1" s="41"/>
    <row r="20" ht="14.25" customHeight="1" s="41"/>
    <row r="21" ht="14.25" customHeight="1" s="41"/>
    <row r="22" ht="14.25" customHeight="1" s="41"/>
    <row r="23" ht="14.25" customHeight="1" s="41"/>
    <row r="24" ht="14.25" customHeight="1" s="41"/>
    <row r="25" ht="14.25" customHeight="1" s="41"/>
    <row r="26" ht="14.25" customHeight="1" s="41"/>
    <row r="27" ht="14.25" customHeight="1" s="41"/>
    <row r="28" ht="14.25" customHeight="1" s="41"/>
    <row r="29" ht="14.25" customHeight="1" s="41"/>
    <row r="30" ht="14.25" customHeight="1" s="41"/>
    <row r="31" ht="14.25" customHeight="1" s="41"/>
    <row r="32" ht="14.25" customHeight="1" s="41"/>
    <row r="33" ht="14.25" customHeight="1" s="41"/>
    <row r="34" ht="14.25" customHeight="1" s="41"/>
    <row r="35" ht="14.25" customHeight="1" s="41"/>
    <row r="36" ht="14.25" customHeight="1" s="41"/>
    <row r="37" ht="14.25" customHeight="1" s="41"/>
    <row r="38" ht="14.25" customHeight="1" s="41"/>
    <row r="39" ht="14.25" customHeight="1" s="41"/>
    <row r="40" ht="14.25" customHeight="1" s="41"/>
    <row r="41" ht="14.25" customHeight="1" s="41"/>
    <row r="42" ht="14.25" customHeight="1" s="41"/>
    <row r="43" ht="14.25" customHeight="1" s="41"/>
    <row r="44" ht="14.25" customHeight="1" s="41"/>
    <row r="45" ht="14.25" customHeight="1" s="41"/>
    <row r="46" ht="14.25" customHeight="1" s="41"/>
    <row r="47" ht="14.25" customHeight="1" s="41"/>
    <row r="48" ht="14.25" customHeight="1" s="41"/>
    <row r="49" ht="14.25" customHeight="1" s="41"/>
    <row r="50" ht="14.25" customHeight="1" s="41"/>
    <row r="51" ht="14.25" customHeight="1" s="41"/>
    <row r="52" ht="14.25" customHeight="1" s="41"/>
    <row r="53" ht="14.25" customHeight="1" s="41"/>
    <row r="54" ht="14.25" customHeight="1" s="41"/>
    <row r="55" ht="14.25" customHeight="1" s="41"/>
    <row r="56" ht="14.25" customHeight="1" s="41"/>
    <row r="57" ht="14.25" customHeight="1" s="41"/>
    <row r="58" ht="14.25" customHeight="1" s="41"/>
    <row r="59" ht="14.25" customHeight="1" s="41"/>
    <row r="60" ht="14.25" customHeight="1" s="41"/>
    <row r="61" ht="14.25" customHeight="1" s="41"/>
    <row r="62" ht="14.25" customHeight="1" s="41"/>
    <row r="63" ht="14.25" customHeight="1" s="41"/>
    <row r="64" ht="14.25" customHeight="1" s="41"/>
    <row r="65" ht="14.25" customHeight="1" s="41"/>
    <row r="66" ht="14.25" customHeight="1" s="41"/>
    <row r="67" ht="14.25" customHeight="1" s="41"/>
    <row r="68" ht="14.25" customHeight="1" s="41"/>
    <row r="69" ht="14.25" customHeight="1" s="41"/>
    <row r="70" ht="14.25" customHeight="1" s="41"/>
    <row r="71" ht="14.25" customHeight="1" s="41"/>
    <row r="72" ht="14.25" customHeight="1" s="41"/>
    <row r="73" ht="14.25" customHeight="1" s="41"/>
    <row r="74" ht="14.25" customHeight="1" s="41"/>
    <row r="75" ht="14.25" customHeight="1" s="41"/>
    <row r="76" ht="14.25" customHeight="1" s="41"/>
    <row r="77" ht="14.25" customHeight="1" s="41"/>
    <row r="78" ht="14.25" customHeight="1" s="41"/>
    <row r="79" ht="14.25" customHeight="1" s="41"/>
    <row r="80" ht="14.25" customHeight="1" s="41"/>
    <row r="81" ht="14.25" customHeight="1" s="41"/>
    <row r="82" ht="14.25" customHeight="1" s="41"/>
    <row r="83" ht="14.25" customHeight="1" s="41"/>
    <row r="84" ht="14.25" customHeight="1" s="41"/>
    <row r="85" ht="14.25" customHeight="1" s="41"/>
    <row r="86" ht="14.25" customHeight="1" s="41"/>
    <row r="87" ht="14.25" customHeight="1" s="41"/>
    <row r="88" ht="14.25" customHeight="1" s="41"/>
    <row r="89" ht="14.25" customHeight="1" s="41"/>
    <row r="90" ht="14.25" customHeight="1" s="41"/>
    <row r="91" ht="14.25" customHeight="1" s="41"/>
    <row r="92" ht="14.25" customHeight="1" s="41"/>
    <row r="93" ht="14.25" customHeight="1" s="41"/>
    <row r="94" ht="14.25" customHeight="1" s="41"/>
    <row r="95" ht="14.25" customHeight="1" s="41"/>
    <row r="96" ht="14.25" customHeight="1" s="41"/>
    <row r="97" ht="14.25" customHeight="1" s="41"/>
    <row r="98" ht="14.25" customHeight="1" s="41"/>
    <row r="99" ht="14.25" customHeight="1" s="41"/>
    <row r="100" ht="14.25" customHeight="1" s="41"/>
    <row r="101" ht="14.25" customHeight="1" s="41"/>
    <row r="102" ht="14.25" customHeight="1" s="41"/>
    <row r="103" ht="14.25" customHeight="1" s="41"/>
    <row r="104" ht="14.25" customHeight="1" s="41"/>
    <row r="105" ht="14.25" customHeight="1" s="41"/>
    <row r="106" ht="14.25" customHeight="1" s="41"/>
    <row r="107" ht="14.25" customHeight="1" s="41"/>
    <row r="108" ht="14.25" customHeight="1" s="41"/>
    <row r="109" ht="14.25" customHeight="1" s="41"/>
    <row r="110" ht="14.25" customHeight="1" s="41"/>
    <row r="111" ht="14.25" customHeight="1" s="41"/>
    <row r="112" ht="14.25" customHeight="1" s="41"/>
    <row r="113" ht="14.25" customHeight="1" s="41"/>
    <row r="114" ht="14.25" customHeight="1" s="41"/>
    <row r="115" ht="14.25" customHeight="1" s="41"/>
    <row r="116" ht="14.25" customHeight="1" s="41"/>
    <row r="117" ht="14.25" customHeight="1" s="41"/>
    <row r="118" ht="14.25" customHeight="1" s="41"/>
    <row r="119" ht="14.25" customHeight="1" s="41"/>
    <row r="120" ht="14.25" customHeight="1" s="41"/>
    <row r="121" ht="14.25" customHeight="1" s="41"/>
    <row r="122" ht="14.25" customHeight="1" s="41"/>
    <row r="123" ht="14.25" customHeight="1" s="41"/>
    <row r="124" ht="14.25" customHeight="1" s="41"/>
    <row r="125" ht="14.25" customHeight="1" s="41"/>
    <row r="126" ht="14.25" customHeight="1" s="41"/>
    <row r="127" ht="14.25" customHeight="1" s="41"/>
    <row r="128" ht="14.25" customHeight="1" s="41"/>
    <row r="129" ht="14.25" customHeight="1" s="41"/>
    <row r="130" ht="14.25" customHeight="1" s="41"/>
    <row r="131" ht="14.25" customHeight="1" s="41"/>
    <row r="132" ht="14.25" customHeight="1" s="41"/>
    <row r="133" ht="14.25" customHeight="1" s="41"/>
    <row r="134" ht="14.25" customHeight="1" s="41"/>
    <row r="135" ht="14.25" customHeight="1" s="41"/>
    <row r="136" ht="14.25" customHeight="1" s="41"/>
    <row r="137" ht="14.25" customHeight="1" s="41"/>
    <row r="138" ht="14.25" customHeight="1" s="41"/>
    <row r="139" ht="14.25" customHeight="1" s="41"/>
    <row r="140" ht="14.25" customHeight="1" s="41"/>
    <row r="141" ht="14.25" customHeight="1" s="41"/>
    <row r="142" ht="14.25" customHeight="1" s="41"/>
    <row r="143" ht="14.25" customHeight="1" s="41"/>
    <row r="144" ht="14.25" customHeight="1" s="41"/>
    <row r="145" ht="14.25" customHeight="1" s="41"/>
    <row r="146" ht="14.25" customHeight="1" s="41"/>
    <row r="147" ht="14.25" customHeight="1" s="41"/>
    <row r="148" ht="14.25" customHeight="1" s="41"/>
    <row r="149" ht="14.25" customHeight="1" s="41"/>
    <row r="150" ht="14.25" customHeight="1" s="41"/>
    <row r="151" ht="14.25" customHeight="1" s="41"/>
    <row r="152" ht="14.25" customHeight="1" s="41"/>
    <row r="153" ht="14.25" customHeight="1" s="41"/>
    <row r="154" ht="14.25" customHeight="1" s="41"/>
    <row r="155" ht="14.25" customHeight="1" s="41"/>
    <row r="156" ht="14.25" customHeight="1" s="41"/>
    <row r="157" ht="14.25" customHeight="1" s="41"/>
    <row r="158" ht="14.25" customHeight="1" s="41"/>
    <row r="159" ht="14.25" customHeight="1" s="41"/>
    <row r="160" ht="14.25" customHeight="1" s="41"/>
    <row r="161" ht="14.25" customHeight="1" s="41"/>
    <row r="162" ht="14.25" customHeight="1" s="41"/>
    <row r="163" ht="14.25" customHeight="1" s="41"/>
    <row r="164" ht="14.25" customHeight="1" s="41"/>
    <row r="165" ht="14.25" customHeight="1" s="41"/>
    <row r="166" ht="14.25" customHeight="1" s="41"/>
    <row r="167" ht="14.25" customHeight="1" s="41"/>
    <row r="168" ht="14.25" customHeight="1" s="41"/>
    <row r="169" ht="14.25" customHeight="1" s="41"/>
    <row r="170" ht="14.25" customHeight="1" s="41"/>
    <row r="171" ht="14.25" customHeight="1" s="41"/>
    <row r="172" ht="14.25" customHeight="1" s="41"/>
    <row r="173" ht="14.25" customHeight="1" s="41"/>
    <row r="174" ht="14.25" customHeight="1" s="41"/>
    <row r="175" ht="14.25" customHeight="1" s="41"/>
    <row r="176" ht="14.25" customHeight="1" s="41"/>
    <row r="177" ht="14.25" customHeight="1" s="41"/>
    <row r="178" ht="14.25" customHeight="1" s="41"/>
    <row r="179" ht="14.25" customHeight="1" s="41"/>
    <row r="180" ht="14.25" customHeight="1" s="41"/>
    <row r="181" ht="14.25" customHeight="1" s="41"/>
    <row r="182" ht="14.25" customHeight="1" s="41"/>
    <row r="183" ht="14.25" customHeight="1" s="41"/>
    <row r="184" ht="14.25" customHeight="1" s="41"/>
    <row r="185" ht="14.25" customHeight="1" s="41"/>
    <row r="186" ht="14.25" customHeight="1" s="41"/>
    <row r="187" ht="14.25" customHeight="1" s="41"/>
    <row r="188" ht="14.25" customHeight="1" s="41"/>
    <row r="189" ht="14.25" customHeight="1" s="41"/>
    <row r="190" ht="14.25" customHeight="1" s="41"/>
    <row r="191" ht="14.25" customHeight="1" s="41"/>
    <row r="192" ht="14.25" customHeight="1" s="41"/>
    <row r="193" ht="14.25" customHeight="1" s="41"/>
    <row r="194" ht="14.25" customHeight="1" s="41"/>
    <row r="195" ht="14.25" customHeight="1" s="41"/>
    <row r="196" ht="14.25" customHeight="1" s="41"/>
    <row r="197" ht="14.25" customHeight="1" s="41"/>
    <row r="198" ht="14.25" customHeight="1" s="41"/>
    <row r="199" ht="14.25" customHeight="1" s="41"/>
    <row r="200" ht="14.25" customHeight="1" s="41"/>
    <row r="201" ht="14.25" customHeight="1" s="41"/>
    <row r="202" ht="14.25" customHeight="1" s="41"/>
    <row r="203" ht="14.25" customHeight="1" s="41"/>
    <row r="204" ht="14.25" customHeight="1" s="41"/>
    <row r="205" ht="14.25" customHeight="1" s="41"/>
    <row r="206" ht="14.25" customHeight="1" s="41"/>
    <row r="207" ht="14.25" customHeight="1" s="41"/>
    <row r="208" ht="14.25" customHeight="1" s="41"/>
    <row r="209" ht="14.25" customHeight="1" s="41"/>
    <row r="210" ht="14.25" customHeight="1" s="41"/>
    <row r="211" ht="14.25" customHeight="1" s="41"/>
    <row r="212" ht="14.25" customHeight="1" s="41"/>
    <row r="213" ht="14.25" customHeight="1" s="41"/>
    <row r="214" ht="14.25" customHeight="1" s="41"/>
    <row r="215" ht="14.25" customHeight="1" s="41"/>
    <row r="216" ht="14.25" customHeight="1" s="41"/>
    <row r="217" ht="14.25" customHeight="1" s="41"/>
    <row r="218" ht="14.25" customHeight="1" s="41"/>
    <row r="219" ht="14.25" customHeight="1" s="41"/>
    <row r="220" ht="14.25" customHeight="1" s="41"/>
    <row r="221" ht="14.25" customHeight="1" s="41"/>
    <row r="222" ht="14.25" customHeight="1" s="41"/>
    <row r="223" ht="14.25" customHeight="1" s="41"/>
    <row r="224" ht="14.25" customHeight="1" s="41"/>
    <row r="225" ht="14.25" customHeight="1" s="41"/>
    <row r="226" ht="14.25" customHeight="1" s="41"/>
    <row r="227" ht="14.25" customHeight="1" s="41"/>
    <row r="228" ht="14.25" customHeight="1" s="41"/>
    <row r="229" ht="14.25" customHeight="1" s="41"/>
    <row r="230" ht="14.25" customHeight="1" s="41"/>
    <row r="231" ht="14.25" customHeight="1" s="41"/>
    <row r="232" ht="14.25" customHeight="1" s="41"/>
    <row r="233" ht="14.25" customHeight="1" s="41"/>
    <row r="234" ht="14.25" customHeight="1" s="41"/>
    <row r="235" ht="14.25" customHeight="1" s="41"/>
    <row r="236" ht="14.25" customHeight="1" s="41"/>
    <row r="237" ht="14.25" customHeight="1" s="41"/>
    <row r="238" ht="14.25" customHeight="1" s="41"/>
    <row r="239" ht="14.25" customHeight="1" s="41"/>
    <row r="240" ht="14.25" customHeight="1" s="41"/>
    <row r="241" ht="14.25" customHeight="1" s="41"/>
    <row r="242" ht="14.25" customHeight="1" s="41"/>
    <row r="243" ht="14.25" customHeight="1" s="41"/>
    <row r="244" ht="14.25" customHeight="1" s="41"/>
    <row r="245" ht="14.25" customHeight="1" s="41"/>
    <row r="246" ht="14.25" customHeight="1" s="41"/>
    <row r="247" ht="14.25" customHeight="1" s="41"/>
    <row r="248" ht="14.25" customHeight="1" s="41"/>
    <row r="249" ht="14.25" customHeight="1" s="41"/>
    <row r="250" ht="14.25" customHeight="1" s="41"/>
    <row r="251" ht="14.25" customHeight="1" s="41"/>
    <row r="252" ht="14.25" customHeight="1" s="41"/>
    <row r="253" ht="14.25" customHeight="1" s="41"/>
    <row r="254" ht="14.25" customHeight="1" s="41"/>
    <row r="255" ht="14.25" customHeight="1" s="41"/>
    <row r="256" ht="14.25" customHeight="1" s="41"/>
    <row r="257" ht="14.25" customHeight="1" s="41"/>
    <row r="258" ht="14.25" customHeight="1" s="41"/>
    <row r="259" ht="14.25" customHeight="1" s="41"/>
    <row r="260" ht="14.25" customHeight="1" s="41"/>
    <row r="261" ht="14.25" customHeight="1" s="41"/>
    <row r="262" ht="14.25" customHeight="1" s="41"/>
    <row r="263" ht="14.25" customHeight="1" s="41"/>
    <row r="264" ht="14.25" customHeight="1" s="41"/>
    <row r="265" ht="14.25" customHeight="1" s="41"/>
    <row r="266" ht="14.25" customHeight="1" s="41"/>
    <row r="267" ht="14.25" customHeight="1" s="41"/>
    <row r="268" ht="14.25" customHeight="1" s="41"/>
    <row r="269" ht="14.25" customHeight="1" s="41"/>
    <row r="270" ht="14.25" customHeight="1" s="41"/>
    <row r="271" ht="14.25" customHeight="1" s="41"/>
    <row r="272" ht="14.25" customHeight="1" s="41"/>
    <row r="273" ht="14.25" customHeight="1" s="41"/>
    <row r="274" ht="14.25" customHeight="1" s="41"/>
    <row r="275" ht="14.25" customHeight="1" s="41"/>
    <row r="276" ht="14.25" customHeight="1" s="41"/>
    <row r="277" ht="14.25" customHeight="1" s="41"/>
    <row r="278" ht="14.25" customHeight="1" s="41"/>
    <row r="279" ht="14.25" customHeight="1" s="41"/>
    <row r="280" ht="14.25" customHeight="1" s="41"/>
    <row r="281" ht="14.25" customHeight="1" s="41"/>
    <row r="282" ht="14.25" customHeight="1" s="41"/>
    <row r="283" ht="14.25" customHeight="1" s="41"/>
    <row r="284" ht="14.25" customHeight="1" s="41"/>
    <row r="285" ht="14.25" customHeight="1" s="41"/>
    <row r="286" ht="14.25" customHeight="1" s="41"/>
    <row r="287" ht="14.25" customHeight="1" s="41"/>
    <row r="288" ht="14.25" customHeight="1" s="41"/>
    <row r="289" ht="14.25" customHeight="1" s="41"/>
    <row r="290" ht="14.25" customHeight="1" s="41"/>
    <row r="291" ht="14.25" customHeight="1" s="41"/>
    <row r="292" ht="14.25" customHeight="1" s="41"/>
    <row r="293" ht="14.25" customHeight="1" s="41"/>
    <row r="294" ht="14.25" customHeight="1" s="41"/>
    <row r="295" ht="14.25" customHeight="1" s="41"/>
    <row r="296" ht="14.25" customHeight="1" s="41"/>
    <row r="297" ht="14.25" customHeight="1" s="41"/>
    <row r="298" ht="14.25" customHeight="1" s="41"/>
    <row r="299" ht="14.25" customHeight="1" s="41"/>
    <row r="300" ht="14.25" customHeight="1" s="41"/>
    <row r="301" ht="14.25" customHeight="1" s="41"/>
    <row r="302" ht="14.25" customHeight="1" s="41"/>
    <row r="303" ht="14.25" customHeight="1" s="41"/>
    <row r="304" ht="14.25" customHeight="1" s="41"/>
    <row r="305" ht="14.25" customHeight="1" s="41"/>
    <row r="306" ht="14.25" customHeight="1" s="41"/>
    <row r="307" ht="14.25" customHeight="1" s="41"/>
    <row r="308" ht="14.25" customHeight="1" s="41"/>
    <row r="309" ht="14.25" customHeight="1" s="41"/>
    <row r="310" ht="14.25" customHeight="1" s="41"/>
    <row r="311" ht="14.25" customHeight="1" s="41"/>
    <row r="312" ht="14.25" customHeight="1" s="41"/>
    <row r="313" ht="14.25" customHeight="1" s="41"/>
    <row r="314" ht="14.25" customHeight="1" s="41"/>
    <row r="315" ht="14.25" customHeight="1" s="41"/>
    <row r="316" ht="14.25" customHeight="1" s="41"/>
    <row r="317" ht="14.25" customHeight="1" s="41"/>
    <row r="318" ht="14.25" customHeight="1" s="41"/>
    <row r="319" ht="14.25" customHeight="1" s="41"/>
    <row r="320" ht="14.25" customHeight="1" s="41"/>
    <row r="321" ht="14.25" customHeight="1" s="41"/>
    <row r="322" ht="14.25" customHeight="1" s="41"/>
    <row r="323" ht="14.25" customHeight="1" s="41"/>
    <row r="324" ht="14.25" customHeight="1" s="41"/>
    <row r="325" ht="14.25" customHeight="1" s="41"/>
    <row r="326" ht="14.25" customHeight="1" s="41"/>
    <row r="327" ht="14.25" customHeight="1" s="41"/>
    <row r="328" ht="14.25" customHeight="1" s="41"/>
    <row r="329" ht="14.25" customHeight="1" s="41"/>
    <row r="330" ht="14.25" customHeight="1" s="41"/>
    <row r="331" ht="14.25" customHeight="1" s="41"/>
    <row r="332" ht="14.25" customHeight="1" s="41"/>
    <row r="333" ht="14.25" customHeight="1" s="41"/>
    <row r="334" ht="14.25" customHeight="1" s="41"/>
    <row r="335" ht="14.25" customHeight="1" s="41"/>
    <row r="336" ht="14.25" customHeight="1" s="41"/>
    <row r="337" ht="14.25" customHeight="1" s="41"/>
    <row r="338" ht="14.25" customHeight="1" s="41"/>
    <row r="339" ht="14.25" customHeight="1" s="41"/>
    <row r="340" ht="14.25" customHeight="1" s="41"/>
    <row r="341" ht="14.25" customHeight="1" s="41"/>
    <row r="342" ht="14.25" customHeight="1" s="41"/>
    <row r="343" ht="14.25" customHeight="1" s="41"/>
    <row r="344" ht="14.25" customHeight="1" s="41"/>
    <row r="345" ht="14.25" customHeight="1" s="41"/>
    <row r="346" ht="14.25" customHeight="1" s="41"/>
    <row r="347" ht="14.25" customHeight="1" s="41"/>
    <row r="348" ht="14.25" customHeight="1" s="41"/>
    <row r="349" ht="14.25" customHeight="1" s="41"/>
    <row r="350" ht="14.25" customHeight="1" s="41"/>
    <row r="351" ht="14.25" customHeight="1" s="41"/>
    <row r="352" ht="14.25" customHeight="1" s="41"/>
    <row r="353" ht="14.25" customHeight="1" s="41"/>
    <row r="354" ht="14.25" customHeight="1" s="41"/>
    <row r="355" ht="14.25" customHeight="1" s="41"/>
    <row r="356" ht="14.25" customHeight="1" s="41"/>
    <row r="357" ht="14.25" customHeight="1" s="41"/>
    <row r="358" ht="14.25" customHeight="1" s="41"/>
    <row r="359" ht="14.25" customHeight="1" s="41"/>
    <row r="360" ht="14.25" customHeight="1" s="41"/>
    <row r="361" ht="14.25" customHeight="1" s="41"/>
    <row r="362" ht="14.25" customHeight="1" s="41"/>
    <row r="363" ht="14.25" customHeight="1" s="41"/>
    <row r="364" ht="14.25" customHeight="1" s="41"/>
    <row r="365" ht="14.25" customHeight="1" s="41"/>
    <row r="366" ht="14.25" customHeight="1" s="41"/>
    <row r="367" ht="14.25" customHeight="1" s="41"/>
    <row r="368" ht="14.25" customHeight="1" s="41"/>
    <row r="369" ht="14.25" customHeight="1" s="41"/>
    <row r="370" ht="14.25" customHeight="1" s="41"/>
    <row r="371" ht="14.25" customHeight="1" s="41"/>
    <row r="372" ht="14.25" customHeight="1" s="41"/>
    <row r="373" ht="14.25" customHeight="1" s="41"/>
    <row r="374" ht="14.25" customHeight="1" s="41"/>
    <row r="375" ht="14.25" customHeight="1" s="41"/>
    <row r="376" ht="14.25" customHeight="1" s="41"/>
    <row r="377" ht="14.25" customHeight="1" s="41"/>
    <row r="378" ht="14.25" customHeight="1" s="41"/>
    <row r="379" ht="14.25" customHeight="1" s="41"/>
    <row r="380" ht="14.25" customHeight="1" s="41"/>
    <row r="381" ht="14.25" customHeight="1" s="41"/>
    <row r="382" ht="14.25" customHeight="1" s="41"/>
    <row r="383" ht="14.25" customHeight="1" s="41"/>
    <row r="384" ht="14.25" customHeight="1" s="41"/>
    <row r="385" ht="14.25" customHeight="1" s="41"/>
    <row r="386" ht="14.25" customHeight="1" s="41"/>
    <row r="387" ht="14.25" customHeight="1" s="41"/>
    <row r="388" ht="14.25" customHeight="1" s="41"/>
    <row r="389" ht="14.25" customHeight="1" s="41"/>
    <row r="390" ht="14.25" customHeight="1" s="41"/>
    <row r="391" ht="14.25" customHeight="1" s="41"/>
    <row r="392" ht="14.25" customHeight="1" s="41"/>
    <row r="393" ht="14.25" customHeight="1" s="41"/>
    <row r="394" ht="14.25" customHeight="1" s="41"/>
    <row r="395" ht="14.25" customHeight="1" s="41"/>
    <row r="396" ht="14.25" customHeight="1" s="41"/>
    <row r="397" ht="14.25" customHeight="1" s="41"/>
    <row r="398" ht="14.25" customHeight="1" s="41"/>
    <row r="399" ht="14.25" customHeight="1" s="41"/>
    <row r="400" ht="14.25" customHeight="1" s="41"/>
    <row r="401" ht="14.25" customHeight="1" s="41"/>
    <row r="402" ht="14.25" customHeight="1" s="41"/>
    <row r="403" ht="14.25" customHeight="1" s="41"/>
    <row r="404" ht="14.25" customHeight="1" s="41"/>
    <row r="405" ht="14.25" customHeight="1" s="41"/>
    <row r="406" ht="14.25" customHeight="1" s="41"/>
    <row r="407" ht="14.25" customHeight="1" s="41"/>
    <row r="408" ht="14.25" customHeight="1" s="41"/>
    <row r="409" ht="14.25" customHeight="1" s="41"/>
    <row r="410" ht="14.25" customHeight="1" s="41"/>
    <row r="411" ht="14.25" customHeight="1" s="41"/>
    <row r="412" ht="14.25" customHeight="1" s="41"/>
    <row r="413" ht="14.25" customHeight="1" s="41"/>
    <row r="414" ht="14.25" customHeight="1" s="41"/>
    <row r="415" ht="14.25" customHeight="1" s="41"/>
    <row r="416" ht="14.25" customHeight="1" s="41"/>
    <row r="417" ht="14.25" customHeight="1" s="41"/>
    <row r="418" ht="14.25" customHeight="1" s="41"/>
    <row r="419" ht="14.25" customHeight="1" s="41"/>
    <row r="420" ht="14.25" customHeight="1" s="41"/>
    <row r="421" ht="14.25" customHeight="1" s="41"/>
    <row r="422" ht="14.25" customHeight="1" s="41"/>
    <row r="423" ht="14.25" customHeight="1" s="41"/>
    <row r="424" ht="14.25" customHeight="1" s="41"/>
    <row r="425" ht="14.25" customHeight="1" s="41"/>
    <row r="426" ht="14.25" customHeight="1" s="41"/>
    <row r="427" ht="14.25" customHeight="1" s="41"/>
    <row r="428" ht="14.25" customHeight="1" s="41"/>
    <row r="429" ht="14.25" customHeight="1" s="41"/>
    <row r="430" ht="14.25" customHeight="1" s="41"/>
    <row r="431" ht="14.25" customHeight="1" s="41"/>
    <row r="432" ht="14.25" customHeight="1" s="41"/>
    <row r="433" ht="14.25" customHeight="1" s="41"/>
    <row r="434" ht="14.25" customHeight="1" s="41"/>
    <row r="435" ht="14.25" customHeight="1" s="41"/>
    <row r="436" ht="14.25" customHeight="1" s="41"/>
    <row r="437" ht="14.25" customHeight="1" s="41"/>
    <row r="438" ht="14.25" customHeight="1" s="41"/>
    <row r="439" ht="14.25" customHeight="1" s="41"/>
    <row r="440" ht="14.25" customHeight="1" s="41"/>
    <row r="441" ht="14.25" customHeight="1" s="41"/>
    <row r="442" ht="14.25" customHeight="1" s="41"/>
    <row r="443" ht="14.25" customHeight="1" s="41"/>
    <row r="444" ht="14.25" customHeight="1" s="41"/>
    <row r="445" ht="14.25" customHeight="1" s="41"/>
    <row r="446" ht="14.25" customHeight="1" s="41"/>
    <row r="447" ht="14.25" customHeight="1" s="41"/>
    <row r="448" ht="14.25" customHeight="1" s="41"/>
    <row r="449" ht="14.25" customHeight="1" s="41"/>
    <row r="450" ht="14.25" customHeight="1" s="41"/>
    <row r="451" ht="14.25" customHeight="1" s="41"/>
    <row r="452" ht="14.25" customHeight="1" s="41"/>
    <row r="453" ht="14.25" customHeight="1" s="41"/>
    <row r="454" ht="14.25" customHeight="1" s="41"/>
    <row r="455" ht="14.25" customHeight="1" s="41"/>
    <row r="456" ht="14.25" customHeight="1" s="41"/>
    <row r="457" ht="14.25" customHeight="1" s="41"/>
    <row r="458" ht="14.25" customHeight="1" s="41"/>
    <row r="459" ht="14.25" customHeight="1" s="41"/>
    <row r="460" ht="14.25" customHeight="1" s="41"/>
    <row r="461" ht="14.25" customHeight="1" s="41"/>
    <row r="462" ht="14.25" customHeight="1" s="41"/>
    <row r="463" ht="14.25" customHeight="1" s="41"/>
    <row r="464" ht="14.25" customHeight="1" s="41"/>
    <row r="465" ht="14.25" customHeight="1" s="41"/>
    <row r="466" ht="14.25" customHeight="1" s="41"/>
    <row r="467" ht="14.25" customHeight="1" s="41"/>
    <row r="468" ht="14.25" customHeight="1" s="41"/>
    <row r="469" ht="14.25" customHeight="1" s="41"/>
    <row r="470" ht="14.25" customHeight="1" s="41"/>
    <row r="471" ht="14.25" customHeight="1" s="41"/>
    <row r="472" ht="14.25" customHeight="1" s="41"/>
    <row r="473" ht="14.25" customHeight="1" s="41"/>
    <row r="474" ht="14.25" customHeight="1" s="41"/>
    <row r="475" ht="14.25" customHeight="1" s="41"/>
    <row r="476" ht="14.25" customHeight="1" s="41"/>
    <row r="477" ht="14.25" customHeight="1" s="41"/>
    <row r="478" ht="14.25" customHeight="1" s="41"/>
    <row r="479" ht="14.25" customHeight="1" s="41"/>
    <row r="480" ht="14.25" customHeight="1" s="41"/>
    <row r="481" ht="14.25" customHeight="1" s="41"/>
    <row r="482" ht="14.25" customHeight="1" s="41"/>
    <row r="483" ht="14.25" customHeight="1" s="41"/>
    <row r="484" ht="14.25" customHeight="1" s="41"/>
    <row r="485" ht="14.25" customHeight="1" s="41"/>
    <row r="486" ht="14.25" customHeight="1" s="41"/>
    <row r="487" ht="14.25" customHeight="1" s="41"/>
    <row r="488" ht="14.25" customHeight="1" s="41"/>
    <row r="489" ht="14.25" customHeight="1" s="41"/>
    <row r="490" ht="14.25" customHeight="1" s="41"/>
    <row r="491" ht="14.25" customHeight="1" s="41"/>
    <row r="492" ht="14.25" customHeight="1" s="41"/>
    <row r="493" ht="14.25" customHeight="1" s="41"/>
    <row r="494" ht="14.25" customHeight="1" s="41"/>
    <row r="495" ht="14.25" customHeight="1" s="41"/>
    <row r="496" ht="14.25" customHeight="1" s="41"/>
    <row r="497" ht="14.25" customHeight="1" s="41"/>
    <row r="498" ht="14.25" customHeight="1" s="41"/>
    <row r="499" ht="14.25" customHeight="1" s="41"/>
    <row r="500" ht="14.25" customHeight="1" s="41"/>
    <row r="501" ht="14.25" customHeight="1" s="41"/>
    <row r="502" ht="14.25" customHeight="1" s="41"/>
    <row r="503" ht="14.25" customHeight="1" s="41"/>
    <row r="504" ht="14.25" customHeight="1" s="41"/>
    <row r="505" ht="14.25" customHeight="1" s="41"/>
    <row r="506" ht="14.25" customHeight="1" s="41"/>
    <row r="507" ht="14.25" customHeight="1" s="41"/>
    <row r="508" ht="14.25" customHeight="1" s="41"/>
    <row r="509" ht="14.25" customHeight="1" s="41"/>
    <row r="510" ht="14.25" customHeight="1" s="41"/>
    <row r="511" ht="14.25" customHeight="1" s="41"/>
    <row r="512" ht="14.25" customHeight="1" s="41"/>
    <row r="513" ht="14.25" customHeight="1" s="41"/>
    <row r="514" ht="14.25" customHeight="1" s="41"/>
    <row r="515" ht="14.25" customHeight="1" s="41"/>
    <row r="516" ht="14.25" customHeight="1" s="41"/>
    <row r="517" ht="14.25" customHeight="1" s="41"/>
    <row r="518" ht="14.25" customHeight="1" s="41"/>
    <row r="519" ht="14.25" customHeight="1" s="41"/>
    <row r="520" ht="14.25" customHeight="1" s="41"/>
    <row r="521" ht="14.25" customHeight="1" s="41"/>
    <row r="522" ht="14.25" customHeight="1" s="41"/>
    <row r="523" ht="14.25" customHeight="1" s="41"/>
    <row r="524" ht="14.25" customHeight="1" s="41"/>
    <row r="525" ht="14.25" customHeight="1" s="41"/>
    <row r="526" ht="14.25" customHeight="1" s="41"/>
    <row r="527" ht="14.25" customHeight="1" s="41"/>
    <row r="528" ht="14.25" customHeight="1" s="41"/>
    <row r="529" ht="14.25" customHeight="1" s="41"/>
    <row r="530" ht="14.25" customHeight="1" s="41"/>
    <row r="531" ht="14.25" customHeight="1" s="41"/>
    <row r="532" ht="14.25" customHeight="1" s="41"/>
    <row r="533" ht="14.25" customHeight="1" s="41"/>
    <row r="534" ht="14.25" customHeight="1" s="41"/>
    <row r="535" ht="14.25" customHeight="1" s="41"/>
    <row r="536" ht="14.25" customHeight="1" s="41"/>
    <row r="537" ht="14.25" customHeight="1" s="41"/>
    <row r="538" ht="14.25" customHeight="1" s="41"/>
    <row r="539" ht="14.25" customHeight="1" s="41"/>
    <row r="540" ht="14.25" customHeight="1" s="41"/>
    <row r="541" ht="14.25" customHeight="1" s="41"/>
    <row r="542" ht="14.25" customHeight="1" s="41"/>
    <row r="543" ht="14.25" customHeight="1" s="41"/>
    <row r="544" ht="14.25" customHeight="1" s="41"/>
    <row r="545" ht="14.25" customHeight="1" s="41"/>
    <row r="546" ht="14.25" customHeight="1" s="41"/>
    <row r="547" ht="14.25" customHeight="1" s="41"/>
    <row r="548" ht="14.25" customHeight="1" s="41"/>
    <row r="549" ht="14.25" customHeight="1" s="41"/>
    <row r="550" ht="14.25" customHeight="1" s="41"/>
    <row r="551" ht="14.25" customHeight="1" s="41"/>
    <row r="552" ht="14.25" customHeight="1" s="41"/>
    <row r="553" ht="14.25" customHeight="1" s="41"/>
    <row r="554" ht="14.25" customHeight="1" s="41"/>
    <row r="555" ht="14.25" customHeight="1" s="41"/>
    <row r="556" ht="14.25" customHeight="1" s="41"/>
    <row r="557" ht="14.25" customHeight="1" s="41"/>
    <row r="558" ht="14.25" customHeight="1" s="41"/>
    <row r="559" ht="14.25" customHeight="1" s="41"/>
    <row r="560" ht="14.25" customHeight="1" s="41"/>
    <row r="561" ht="14.25" customHeight="1" s="41"/>
    <row r="562" ht="14.25" customHeight="1" s="41"/>
    <row r="563" ht="14.25" customHeight="1" s="41"/>
    <row r="564" ht="14.25" customHeight="1" s="41"/>
    <row r="565" ht="14.25" customHeight="1" s="41"/>
    <row r="566" ht="14.25" customHeight="1" s="41"/>
    <row r="567" ht="14.25" customHeight="1" s="41"/>
    <row r="568" ht="14.25" customHeight="1" s="41"/>
    <row r="569" ht="14.25" customHeight="1" s="41"/>
    <row r="570" ht="14.25" customHeight="1" s="41"/>
    <row r="571" ht="14.25" customHeight="1" s="41"/>
    <row r="572" ht="14.25" customHeight="1" s="41"/>
    <row r="573" ht="14.25" customHeight="1" s="41"/>
    <row r="574" ht="14.25" customHeight="1" s="41"/>
    <row r="575" ht="14.25" customHeight="1" s="41"/>
    <row r="576" ht="14.25" customHeight="1" s="41"/>
    <row r="577" ht="14.25" customHeight="1" s="41"/>
    <row r="578" ht="14.25" customHeight="1" s="41"/>
    <row r="579" ht="14.25" customHeight="1" s="41"/>
    <row r="580" ht="14.25" customHeight="1" s="41"/>
    <row r="581" ht="14.25" customHeight="1" s="41"/>
    <row r="582" ht="14.25" customHeight="1" s="41"/>
    <row r="583" ht="14.25" customHeight="1" s="41"/>
    <row r="584" ht="14.25" customHeight="1" s="41"/>
    <row r="585" ht="14.25" customHeight="1" s="41"/>
    <row r="586" ht="14.25" customHeight="1" s="41"/>
    <row r="587" ht="14.25" customHeight="1" s="41"/>
    <row r="588" ht="14.25" customHeight="1" s="41"/>
    <row r="589" ht="14.25" customHeight="1" s="41"/>
    <row r="590" ht="14.25" customHeight="1" s="41"/>
    <row r="591" ht="14.25" customHeight="1" s="41"/>
    <row r="592" ht="14.25" customHeight="1" s="41"/>
    <row r="593" ht="14.25" customHeight="1" s="41"/>
    <row r="594" ht="14.25" customHeight="1" s="41"/>
    <row r="595" ht="14.25" customHeight="1" s="41"/>
    <row r="596" ht="14.25" customHeight="1" s="41"/>
    <row r="597" ht="14.25" customHeight="1" s="41"/>
    <row r="598" ht="14.25" customHeight="1" s="41"/>
    <row r="599" ht="14.25" customHeight="1" s="41"/>
    <row r="600" ht="14.25" customHeight="1" s="41"/>
    <row r="601" ht="14.25" customHeight="1" s="41"/>
    <row r="602" ht="14.25" customHeight="1" s="41"/>
    <row r="603" ht="14.25" customHeight="1" s="41"/>
    <row r="604" ht="14.25" customHeight="1" s="41"/>
    <row r="605" ht="14.25" customHeight="1" s="41"/>
    <row r="606" ht="14.25" customHeight="1" s="41"/>
    <row r="607" ht="14.25" customHeight="1" s="41"/>
    <row r="608" ht="14.25" customHeight="1" s="41"/>
    <row r="609" ht="14.25" customHeight="1" s="41"/>
    <row r="610" ht="14.25" customHeight="1" s="41"/>
    <row r="611" ht="14.25" customHeight="1" s="41"/>
    <row r="612" ht="14.25" customHeight="1" s="41"/>
    <row r="613" ht="14.25" customHeight="1" s="41"/>
    <row r="614" ht="14.25" customHeight="1" s="41"/>
    <row r="615" ht="14.25" customHeight="1" s="41"/>
    <row r="616" ht="14.25" customHeight="1" s="41"/>
    <row r="617" ht="14.25" customHeight="1" s="41"/>
    <row r="618" ht="14.25" customHeight="1" s="41"/>
    <row r="619" ht="14.25" customHeight="1" s="41"/>
    <row r="620" ht="14.25" customHeight="1" s="41"/>
    <row r="621" ht="14.25" customHeight="1" s="41"/>
    <row r="622" ht="14.25" customHeight="1" s="41"/>
    <row r="623" ht="14.25" customHeight="1" s="41"/>
    <row r="624" ht="14.25" customHeight="1" s="41"/>
    <row r="625" ht="14.25" customHeight="1" s="41"/>
    <row r="626" ht="14.25" customHeight="1" s="41"/>
    <row r="627" ht="14.25" customHeight="1" s="41"/>
    <row r="628" ht="14.25" customHeight="1" s="41"/>
    <row r="629" ht="14.25" customHeight="1" s="41"/>
    <row r="630" ht="14.25" customHeight="1" s="41"/>
    <row r="631" ht="14.25" customHeight="1" s="41"/>
    <row r="632" ht="14.25" customHeight="1" s="41"/>
    <row r="633" ht="14.25" customHeight="1" s="41"/>
    <row r="634" ht="14.25" customHeight="1" s="41"/>
    <row r="635" ht="14.25" customHeight="1" s="41"/>
    <row r="636" ht="14.25" customHeight="1" s="41"/>
    <row r="637" ht="14.25" customHeight="1" s="41"/>
    <row r="638" ht="14.25" customHeight="1" s="41"/>
    <row r="639" ht="14.25" customHeight="1" s="41"/>
    <row r="640" ht="14.25" customHeight="1" s="41"/>
    <row r="641" ht="14.25" customHeight="1" s="41"/>
    <row r="642" ht="14.25" customHeight="1" s="41"/>
    <row r="643" ht="14.25" customHeight="1" s="41"/>
    <row r="644" ht="14.25" customHeight="1" s="41"/>
    <row r="645" ht="14.25" customHeight="1" s="41"/>
    <row r="646" ht="14.25" customHeight="1" s="41"/>
    <row r="647" ht="14.25" customHeight="1" s="41"/>
    <row r="648" ht="14.25" customHeight="1" s="41"/>
    <row r="649" ht="14.25" customHeight="1" s="41"/>
    <row r="650" ht="14.25" customHeight="1" s="41"/>
    <row r="651" ht="14.25" customHeight="1" s="41"/>
    <row r="652" ht="14.25" customHeight="1" s="41"/>
    <row r="653" ht="14.25" customHeight="1" s="41"/>
    <row r="654" ht="14.25" customHeight="1" s="41"/>
    <row r="655" ht="14.25" customHeight="1" s="41"/>
    <row r="656" ht="14.25" customHeight="1" s="41"/>
    <row r="657" ht="14.25" customHeight="1" s="41"/>
    <row r="658" ht="14.25" customHeight="1" s="41"/>
    <row r="659" ht="14.25" customHeight="1" s="41"/>
    <row r="660" ht="14.25" customHeight="1" s="41"/>
    <row r="661" ht="14.25" customHeight="1" s="41"/>
    <row r="662" ht="14.25" customHeight="1" s="41"/>
    <row r="663" ht="14.25" customHeight="1" s="41"/>
    <row r="664" ht="14.25" customHeight="1" s="41"/>
    <row r="665" ht="14.25" customHeight="1" s="41"/>
    <row r="666" ht="14.25" customHeight="1" s="41"/>
    <row r="667" ht="14.25" customHeight="1" s="41"/>
    <row r="668" ht="14.25" customHeight="1" s="41"/>
    <row r="669" ht="14.25" customHeight="1" s="41"/>
    <row r="670" ht="14.25" customHeight="1" s="41"/>
    <row r="671" ht="14.25" customHeight="1" s="41"/>
    <row r="672" ht="14.25" customHeight="1" s="41"/>
    <row r="673" ht="14.25" customHeight="1" s="41"/>
    <row r="674" ht="14.25" customHeight="1" s="41"/>
    <row r="675" ht="14.25" customHeight="1" s="41"/>
    <row r="676" ht="14.25" customHeight="1" s="41"/>
    <row r="677" ht="14.25" customHeight="1" s="41"/>
    <row r="678" ht="14.25" customHeight="1" s="41"/>
    <row r="679" ht="14.25" customHeight="1" s="41"/>
    <row r="680" ht="14.25" customHeight="1" s="41"/>
    <row r="681" ht="14.25" customHeight="1" s="41"/>
    <row r="682" ht="14.25" customHeight="1" s="41"/>
    <row r="683" ht="14.25" customHeight="1" s="41"/>
    <row r="684" ht="14.25" customHeight="1" s="41"/>
    <row r="685" ht="14.25" customHeight="1" s="41"/>
    <row r="686" ht="14.25" customHeight="1" s="41"/>
    <row r="687" ht="14.25" customHeight="1" s="41"/>
    <row r="688" ht="14.25" customHeight="1" s="41"/>
    <row r="689" ht="14.25" customHeight="1" s="41"/>
    <row r="690" ht="14.25" customHeight="1" s="41"/>
    <row r="691" ht="14.25" customHeight="1" s="41"/>
    <row r="692" ht="14.25" customHeight="1" s="41"/>
    <row r="693" ht="14.25" customHeight="1" s="41"/>
    <row r="694" ht="14.25" customHeight="1" s="41"/>
    <row r="695" ht="14.25" customHeight="1" s="41"/>
    <row r="696" ht="14.25" customHeight="1" s="41"/>
    <row r="697" ht="14.25" customHeight="1" s="41"/>
    <row r="698" ht="14.25" customHeight="1" s="41"/>
    <row r="699" ht="14.25" customHeight="1" s="41"/>
    <row r="700" ht="14.25" customHeight="1" s="41"/>
    <row r="701" ht="14.25" customHeight="1" s="41"/>
    <row r="702" ht="14.25" customHeight="1" s="41"/>
    <row r="703" ht="14.25" customHeight="1" s="41"/>
    <row r="704" ht="14.25" customHeight="1" s="41"/>
    <row r="705" ht="14.25" customHeight="1" s="41"/>
    <row r="706" ht="14.25" customHeight="1" s="41"/>
    <row r="707" ht="14.25" customHeight="1" s="41"/>
    <row r="708" ht="14.25" customHeight="1" s="41"/>
    <row r="709" ht="14.25" customHeight="1" s="41"/>
    <row r="710" ht="14.25" customHeight="1" s="41"/>
    <row r="711" ht="14.25" customHeight="1" s="41"/>
    <row r="712" ht="14.25" customHeight="1" s="41"/>
    <row r="713" ht="14.25" customHeight="1" s="41"/>
    <row r="714" ht="14.25" customHeight="1" s="41"/>
    <row r="715" ht="14.25" customHeight="1" s="41"/>
    <row r="716" ht="14.25" customHeight="1" s="41"/>
    <row r="717" ht="14.25" customHeight="1" s="41"/>
    <row r="718" ht="14.25" customHeight="1" s="41"/>
    <row r="719" ht="14.25" customHeight="1" s="41"/>
    <row r="720" ht="14.25" customHeight="1" s="41"/>
    <row r="721" ht="14.25" customHeight="1" s="41"/>
    <row r="722" ht="14.25" customHeight="1" s="41"/>
    <row r="723" ht="14.25" customHeight="1" s="41"/>
    <row r="724" ht="14.25" customHeight="1" s="41"/>
    <row r="725" ht="14.25" customHeight="1" s="41"/>
    <row r="726" ht="14.25" customHeight="1" s="41"/>
    <row r="727" ht="14.25" customHeight="1" s="41"/>
    <row r="728" ht="14.25" customHeight="1" s="41"/>
    <row r="729" ht="14.25" customHeight="1" s="41"/>
    <row r="730" ht="14.25" customHeight="1" s="41"/>
    <row r="731" ht="14.25" customHeight="1" s="41"/>
    <row r="732" ht="14.25" customHeight="1" s="41"/>
    <row r="733" ht="14.25" customHeight="1" s="41"/>
    <row r="734" ht="14.25" customHeight="1" s="41"/>
    <row r="735" ht="14.25" customHeight="1" s="41"/>
    <row r="736" ht="14.25" customHeight="1" s="41"/>
    <row r="737" ht="14.25" customHeight="1" s="41"/>
    <row r="738" ht="14.25" customHeight="1" s="41"/>
    <row r="739" ht="14.25" customHeight="1" s="41"/>
    <row r="740" ht="14.25" customHeight="1" s="41"/>
    <row r="741" ht="14.25" customHeight="1" s="41"/>
    <row r="742" ht="14.25" customHeight="1" s="41"/>
    <row r="743" ht="14.25" customHeight="1" s="41"/>
    <row r="744" ht="14.25" customHeight="1" s="41"/>
    <row r="745" ht="14.25" customHeight="1" s="41"/>
    <row r="746" ht="14.25" customHeight="1" s="41"/>
    <row r="747" ht="14.25" customHeight="1" s="41"/>
    <row r="748" ht="14.25" customHeight="1" s="41"/>
    <row r="749" ht="14.25" customHeight="1" s="41"/>
    <row r="750" ht="14.25" customHeight="1" s="41"/>
    <row r="751" ht="14.25" customHeight="1" s="41"/>
    <row r="752" ht="14.25" customHeight="1" s="41"/>
    <row r="753" ht="14.25" customHeight="1" s="41"/>
    <row r="754" ht="14.25" customHeight="1" s="41"/>
    <row r="755" ht="14.25" customHeight="1" s="41"/>
    <row r="756" ht="14.25" customHeight="1" s="41"/>
    <row r="757" ht="14.25" customHeight="1" s="41"/>
    <row r="758" ht="14.25" customHeight="1" s="41"/>
    <row r="759" ht="14.25" customHeight="1" s="41"/>
    <row r="760" ht="14.25" customHeight="1" s="41"/>
    <row r="761" ht="14.25" customHeight="1" s="41"/>
    <row r="762" ht="14.25" customHeight="1" s="41"/>
    <row r="763" ht="14.25" customHeight="1" s="41"/>
    <row r="764" ht="14.25" customHeight="1" s="41"/>
    <row r="765" ht="14.25" customHeight="1" s="41"/>
    <row r="766" ht="14.25" customHeight="1" s="41"/>
    <row r="767" ht="14.25" customHeight="1" s="41"/>
    <row r="768" ht="14.25" customHeight="1" s="41"/>
    <row r="769" ht="14.25" customHeight="1" s="41"/>
    <row r="770" ht="14.25" customHeight="1" s="41"/>
    <row r="771" ht="14.25" customHeight="1" s="41"/>
    <row r="772" ht="14.25" customHeight="1" s="41"/>
    <row r="773" ht="14.25" customHeight="1" s="41"/>
    <row r="774" ht="14.25" customHeight="1" s="41"/>
    <row r="775" ht="14.25" customHeight="1" s="41"/>
    <row r="776" ht="14.25" customHeight="1" s="41"/>
    <row r="777" ht="14.25" customHeight="1" s="41"/>
    <row r="778" ht="14.25" customHeight="1" s="41"/>
    <row r="779" ht="14.25" customHeight="1" s="41"/>
    <row r="780" ht="14.25" customHeight="1" s="41"/>
    <row r="781" ht="14.25" customHeight="1" s="41"/>
    <row r="782" ht="14.25" customHeight="1" s="41"/>
    <row r="783" ht="14.25" customHeight="1" s="41"/>
    <row r="784" ht="14.25" customHeight="1" s="41"/>
    <row r="785" ht="14.25" customHeight="1" s="41"/>
    <row r="786" ht="14.25" customHeight="1" s="41"/>
    <row r="787" ht="14.25" customHeight="1" s="41"/>
    <row r="788" ht="14.25" customHeight="1" s="41"/>
    <row r="789" ht="14.25" customHeight="1" s="41"/>
    <row r="790" ht="14.25" customHeight="1" s="41"/>
    <row r="791" ht="14.25" customHeight="1" s="41"/>
    <row r="792" ht="14.25" customHeight="1" s="41"/>
    <row r="793" ht="14.25" customHeight="1" s="41"/>
    <row r="794" ht="14.25" customHeight="1" s="41"/>
    <row r="795" ht="14.25" customHeight="1" s="41"/>
    <row r="796" ht="14.25" customHeight="1" s="41"/>
    <row r="797" ht="14.25" customHeight="1" s="41"/>
    <row r="798" ht="14.25" customHeight="1" s="41"/>
    <row r="799" ht="14.25" customHeight="1" s="41"/>
    <row r="800" ht="14.25" customHeight="1" s="41"/>
    <row r="801" ht="14.25" customHeight="1" s="41"/>
    <row r="802" ht="14.25" customHeight="1" s="41"/>
    <row r="803" ht="14.25" customHeight="1" s="41"/>
    <row r="804" ht="14.25" customHeight="1" s="41"/>
    <row r="805" ht="14.25" customHeight="1" s="41"/>
    <row r="806" ht="14.25" customHeight="1" s="41"/>
    <row r="807" ht="14.25" customHeight="1" s="41"/>
    <row r="808" ht="14.25" customHeight="1" s="41"/>
    <row r="809" ht="14.25" customHeight="1" s="41"/>
    <row r="810" ht="14.25" customHeight="1" s="41"/>
    <row r="811" ht="14.25" customHeight="1" s="41"/>
    <row r="812" ht="14.25" customHeight="1" s="41"/>
    <row r="813" ht="14.25" customHeight="1" s="41"/>
    <row r="814" ht="14.25" customHeight="1" s="41"/>
    <row r="815" ht="14.25" customHeight="1" s="41"/>
    <row r="816" ht="14.25" customHeight="1" s="41"/>
    <row r="817" ht="14.25" customHeight="1" s="41"/>
    <row r="818" ht="14.25" customHeight="1" s="41"/>
    <row r="819" ht="14.25" customHeight="1" s="41"/>
    <row r="820" ht="14.25" customHeight="1" s="41"/>
    <row r="821" ht="14.25" customHeight="1" s="41"/>
    <row r="822" ht="14.25" customHeight="1" s="41"/>
    <row r="823" ht="14.25" customHeight="1" s="41"/>
    <row r="824" ht="14.25" customHeight="1" s="41"/>
    <row r="825" ht="14.25" customHeight="1" s="41"/>
    <row r="826" ht="14.25" customHeight="1" s="41"/>
    <row r="827" ht="14.25" customHeight="1" s="41"/>
    <row r="828" ht="14.25" customHeight="1" s="41"/>
    <row r="829" ht="14.25" customHeight="1" s="41"/>
    <row r="830" ht="14.25" customHeight="1" s="41"/>
    <row r="831" ht="14.25" customHeight="1" s="41"/>
    <row r="832" ht="14.25" customHeight="1" s="41"/>
    <row r="833" ht="14.25" customHeight="1" s="41"/>
    <row r="834" ht="14.25" customHeight="1" s="41"/>
    <row r="835" ht="14.25" customHeight="1" s="41"/>
    <row r="836" ht="14.25" customHeight="1" s="41"/>
    <row r="837" ht="14.25" customHeight="1" s="41"/>
    <row r="838" ht="14.25" customHeight="1" s="41"/>
    <row r="839" ht="14.25" customHeight="1" s="41"/>
    <row r="840" ht="14.25" customHeight="1" s="41"/>
    <row r="841" ht="14.25" customHeight="1" s="41"/>
    <row r="842" ht="14.25" customHeight="1" s="41"/>
    <row r="843" ht="14.25" customHeight="1" s="41"/>
    <row r="844" ht="14.25" customHeight="1" s="41"/>
    <row r="845" ht="14.25" customHeight="1" s="41"/>
    <row r="846" ht="14.25" customHeight="1" s="41"/>
    <row r="847" ht="14.25" customHeight="1" s="41"/>
    <row r="848" ht="14.25" customHeight="1" s="41"/>
    <row r="849" ht="14.25" customHeight="1" s="41"/>
    <row r="850" ht="14.25" customHeight="1" s="41"/>
    <row r="851" ht="14.25" customHeight="1" s="41"/>
    <row r="852" ht="14.25" customHeight="1" s="41"/>
    <row r="853" ht="14.25" customHeight="1" s="41"/>
    <row r="854" ht="14.25" customHeight="1" s="41"/>
    <row r="855" ht="14.25" customHeight="1" s="41"/>
    <row r="856" ht="14.25" customHeight="1" s="41"/>
    <row r="857" ht="14.25" customHeight="1" s="41"/>
    <row r="858" ht="14.25" customHeight="1" s="41"/>
    <row r="859" ht="14.25" customHeight="1" s="41"/>
    <row r="860" ht="14.25" customHeight="1" s="41"/>
    <row r="861" ht="14.25" customHeight="1" s="41"/>
    <row r="862" ht="14.25" customHeight="1" s="41"/>
    <row r="863" ht="14.25" customHeight="1" s="41"/>
    <row r="864" ht="14.25" customHeight="1" s="41"/>
    <row r="865" ht="14.25" customHeight="1" s="41"/>
    <row r="866" ht="14.25" customHeight="1" s="41"/>
    <row r="867" ht="14.25" customHeight="1" s="41"/>
    <row r="868" ht="14.25" customHeight="1" s="41"/>
    <row r="869" ht="14.25" customHeight="1" s="41"/>
    <row r="870" ht="14.25" customHeight="1" s="41"/>
    <row r="871" ht="14.25" customHeight="1" s="41"/>
    <row r="872" ht="14.25" customHeight="1" s="41"/>
    <row r="873" ht="14.25" customHeight="1" s="41"/>
    <row r="874" ht="14.25" customHeight="1" s="41"/>
    <row r="875" ht="14.25" customHeight="1" s="41"/>
    <row r="876" ht="14.25" customHeight="1" s="41"/>
    <row r="877" ht="14.25" customHeight="1" s="41"/>
    <row r="878" ht="14.25" customHeight="1" s="41"/>
    <row r="879" ht="14.25" customHeight="1" s="41"/>
    <row r="880" ht="14.25" customHeight="1" s="41"/>
    <row r="881" ht="14.25" customHeight="1" s="41"/>
    <row r="882" ht="14.25" customHeight="1" s="41"/>
    <row r="883" ht="14.25" customHeight="1" s="41"/>
    <row r="884" ht="14.25" customHeight="1" s="41"/>
    <row r="885" ht="14.25" customHeight="1" s="41"/>
    <row r="886" ht="14.25" customHeight="1" s="41"/>
    <row r="887" ht="14.25" customHeight="1" s="41"/>
    <row r="888" ht="14.25" customHeight="1" s="41"/>
    <row r="889" ht="14.25" customHeight="1" s="41"/>
    <row r="890" ht="14.25" customHeight="1" s="41"/>
    <row r="891" ht="14.25" customHeight="1" s="41"/>
    <row r="892" ht="14.25" customHeight="1" s="41"/>
    <row r="893" ht="14.25" customHeight="1" s="41"/>
    <row r="894" ht="14.25" customHeight="1" s="41"/>
    <row r="895" ht="14.25" customHeight="1" s="41"/>
    <row r="896" ht="14.25" customHeight="1" s="41"/>
    <row r="897" ht="14.25" customHeight="1" s="41"/>
    <row r="898" ht="14.25" customHeight="1" s="41"/>
    <row r="899" ht="14.25" customHeight="1" s="41"/>
    <row r="900" ht="14.25" customHeight="1" s="41"/>
    <row r="901" ht="14.25" customHeight="1" s="41"/>
    <row r="902" ht="14.25" customHeight="1" s="41"/>
    <row r="903" ht="14.25" customHeight="1" s="41"/>
    <row r="904" ht="14.25" customHeight="1" s="41"/>
    <row r="905" ht="14.25" customHeight="1" s="41"/>
    <row r="906" ht="14.25" customHeight="1" s="41"/>
    <row r="907" ht="14.25" customHeight="1" s="41"/>
    <row r="908" ht="14.25" customHeight="1" s="41"/>
    <row r="909" ht="14.25" customHeight="1" s="41"/>
    <row r="910" ht="14.25" customHeight="1" s="41"/>
    <row r="911" ht="14.25" customHeight="1" s="41"/>
    <row r="912" ht="14.25" customHeight="1" s="41"/>
    <row r="913" ht="14.25" customHeight="1" s="41"/>
    <row r="914" ht="14.25" customHeight="1" s="41"/>
    <row r="915" ht="14.25" customHeight="1" s="41"/>
    <row r="916" ht="14.25" customHeight="1" s="41"/>
    <row r="917" ht="14.25" customHeight="1" s="41"/>
    <row r="918" ht="14.25" customHeight="1" s="41"/>
    <row r="919" ht="14.25" customHeight="1" s="41"/>
    <row r="920" ht="14.25" customHeight="1" s="41"/>
    <row r="921" ht="14.25" customHeight="1" s="41"/>
    <row r="922" ht="14.25" customHeight="1" s="41"/>
    <row r="923" ht="14.25" customHeight="1" s="41"/>
    <row r="924" ht="14.25" customHeight="1" s="41"/>
    <row r="925" ht="14.25" customHeight="1" s="41"/>
    <row r="926" ht="14.25" customHeight="1" s="41"/>
    <row r="927" ht="14.25" customHeight="1" s="41"/>
    <row r="928" ht="14.25" customHeight="1" s="41"/>
    <row r="929" ht="14.25" customHeight="1" s="41"/>
    <row r="930" ht="14.25" customHeight="1" s="41"/>
    <row r="931" ht="14.25" customHeight="1" s="41"/>
    <row r="932" ht="14.25" customHeight="1" s="41"/>
    <row r="933" ht="14.25" customHeight="1" s="41"/>
    <row r="934" ht="14.25" customHeight="1" s="41"/>
    <row r="935" ht="14.25" customHeight="1" s="41"/>
    <row r="936" ht="14.25" customHeight="1" s="41"/>
    <row r="937" ht="14.25" customHeight="1" s="41"/>
    <row r="938" ht="14.25" customHeight="1" s="41"/>
    <row r="939" ht="14.25" customHeight="1" s="41"/>
    <row r="940" ht="14.25" customHeight="1" s="41"/>
    <row r="941" ht="14.25" customHeight="1" s="41"/>
    <row r="942" ht="14.25" customHeight="1" s="41"/>
    <row r="943" ht="14.25" customHeight="1" s="41"/>
    <row r="944" ht="14.25" customHeight="1" s="41"/>
    <row r="945" ht="14.25" customHeight="1" s="41"/>
    <row r="946" ht="14.25" customHeight="1" s="41"/>
    <row r="947" ht="14.25" customHeight="1" s="41"/>
    <row r="948" ht="14.25" customHeight="1" s="41"/>
    <row r="949" ht="14.25" customHeight="1" s="41"/>
    <row r="950" ht="14.25" customHeight="1" s="41"/>
    <row r="951" ht="14.25" customHeight="1" s="41"/>
    <row r="952" ht="14.25" customHeight="1" s="41"/>
    <row r="953" ht="14.25" customHeight="1" s="41"/>
    <row r="954" ht="14.25" customHeight="1" s="41"/>
    <row r="955" ht="14.25" customHeight="1" s="41"/>
    <row r="956" ht="14.25" customHeight="1" s="41"/>
    <row r="957" ht="14.25" customHeight="1" s="41"/>
    <row r="958" ht="14.25" customHeight="1" s="41"/>
    <row r="959" ht="14.25" customHeight="1" s="41"/>
    <row r="960" ht="14.25" customHeight="1" s="41"/>
    <row r="961" ht="14.25" customHeight="1" s="41"/>
    <row r="962" ht="14.25" customHeight="1" s="41"/>
    <row r="963" ht="14.25" customHeight="1" s="41"/>
    <row r="964" ht="14.25" customHeight="1" s="41"/>
    <row r="965" ht="14.25" customHeight="1" s="41"/>
    <row r="966" ht="14.25" customHeight="1" s="41"/>
    <row r="967" ht="14.25" customHeight="1" s="41"/>
    <row r="968" ht="14.25" customHeight="1" s="41"/>
    <row r="969" ht="14.25" customHeight="1" s="41"/>
    <row r="970" ht="14.25" customHeight="1" s="41"/>
    <row r="971" ht="14.25" customHeight="1" s="41"/>
    <row r="972" ht="14.25" customHeight="1" s="41"/>
    <row r="973" ht="14.25" customHeight="1" s="41"/>
    <row r="974" ht="14.25" customHeight="1" s="41"/>
    <row r="975" ht="14.25" customHeight="1" s="41"/>
    <row r="976" ht="14.25" customHeight="1" s="41"/>
    <row r="977" ht="14.25" customHeight="1" s="41"/>
    <row r="978" ht="14.25" customHeight="1" s="41"/>
    <row r="979" ht="14.25" customHeight="1" s="41"/>
    <row r="980" ht="14.25" customHeight="1" s="41"/>
    <row r="981" ht="14.25" customHeight="1" s="41"/>
    <row r="982" ht="14.25" customHeight="1" s="41"/>
    <row r="983" ht="14.25" customHeight="1" s="41"/>
    <row r="984" ht="14.25" customHeight="1" s="41"/>
    <row r="985" ht="14.25" customHeight="1" s="41"/>
    <row r="986" ht="14.25" customHeight="1" s="41"/>
    <row r="987" ht="14.25" customHeight="1" s="41"/>
    <row r="988" ht="14.25" customHeight="1" s="41"/>
    <row r="989" ht="14.25" customHeight="1" s="41"/>
    <row r="990" ht="14.25" customHeight="1" s="41"/>
    <row r="991" ht="14.25" customHeight="1" s="41"/>
    <row r="992" ht="14.25" customHeight="1" s="41"/>
    <row r="993" ht="14.25" customHeight="1" s="41"/>
    <row r="994" ht="14.25" customHeight="1" s="41"/>
    <row r="995" ht="14.25" customHeight="1" s="41"/>
    <row r="996" ht="14.25" customHeight="1" s="41"/>
    <row r="997" ht="14.25" customHeight="1" s="41"/>
    <row r="998" ht="14.25" customHeight="1" s="41"/>
    <row r="999" ht="14.25" customHeight="1" s="41"/>
    <row r="1000" ht="14.25" customHeight="1" s="41"/>
  </sheetData>
  <mergeCells count="1">
    <mergeCell ref="A1:H1"/>
  </mergeCells>
  <dataValidations count="1">
    <dataValidation sqref="F4:F11" showErrorMessage="1" showInputMessage="1" allowBlank="1" type="list">
      <formula1>"済,未"</formula1>
    </dataValidation>
  </dataValidations>
  <pageMargins left="0.75" right="0.75" top="1" bottom="1" header="0" footer="0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7.29" customWidth="1" style="41" min="1" max="1"/>
    <col width="23.57" customWidth="1" style="41" min="2" max="2"/>
    <col width="18.29" customWidth="1" style="41" min="3" max="3"/>
    <col width="11.86" customWidth="1" style="41" min="4" max="4"/>
    <col width="13.57" customWidth="1" style="41" min="5" max="5"/>
    <col width="9.140000000000001" customWidth="1" style="41" min="6" max="7"/>
    <col width="11.86" customWidth="1" style="41" min="8" max="8"/>
    <col width="13.57" customWidth="1" style="41" min="9" max="9"/>
    <col width="9.140000000000001" customWidth="1" style="41" min="10" max="11"/>
    <col width="7.86" customWidth="1" style="41" min="12" max="26"/>
  </cols>
  <sheetData>
    <row r="1" ht="25.5" customHeight="1" s="41">
      <c r="A1" s="1" t="inlineStr">
        <is>
          <t>チェックリスト — サマリー（自動集計・見るだけ）</t>
        </is>
      </c>
    </row>
    <row r="2" ht="14.25" customHeight="1" s="41"/>
    <row r="3" ht="21.75" customHeight="1" s="41">
      <c r="A3" s="6" t="inlineStr">
        <is>
          <t>番号</t>
        </is>
      </c>
      <c r="B3" s="6" t="inlineStr">
        <is>
          <t>場面</t>
        </is>
      </c>
      <c r="C3" s="6" t="inlineStr">
        <is>
          <t>正解</t>
        </is>
      </c>
      <c r="D3" s="7" t="inlineStr">
        <is>
          <t>Round1</t>
        </is>
      </c>
      <c r="E3" s="42" t="n"/>
      <c r="F3" s="42" t="n"/>
      <c r="G3" s="43" t="n"/>
      <c r="H3" s="7" t="inlineStr">
        <is>
          <t>Round2</t>
        </is>
      </c>
      <c r="I3" s="42" t="n"/>
      <c r="J3" s="42" t="n"/>
      <c r="K3" s="43" t="n"/>
    </row>
    <row r="4" ht="30" customHeight="1" s="41">
      <c r="A4" s="44" t="n"/>
      <c r="B4" s="44" t="n"/>
      <c r="C4" s="44" t="n"/>
      <c r="D4" s="6" t="inlineStr">
        <is>
          <t>実施済み数</t>
        </is>
      </c>
      <c r="E4" s="6" t="inlineStr">
        <is>
          <t>反応回数の合計</t>
        </is>
      </c>
      <c r="F4" s="6" t="inlineStr">
        <is>
          <t>◯の数</t>
        </is>
      </c>
      <c r="G4" s="7" t="inlineStr">
        <is>
          <t>×の数</t>
        </is>
      </c>
      <c r="H4" s="6" t="inlineStr">
        <is>
          <t>実施済み数</t>
        </is>
      </c>
      <c r="I4" s="6" t="inlineStr">
        <is>
          <t>反応回数の合計</t>
        </is>
      </c>
      <c r="J4" s="6" t="inlineStr">
        <is>
          <t>◯の数</t>
        </is>
      </c>
      <c r="K4" s="7" t="inlineStr">
        <is>
          <t>×の数</t>
        </is>
      </c>
    </row>
    <row r="5" ht="17.25" customHeight="1" s="41">
      <c r="A5" s="20" t="inlineStr">
        <is>
          <t>A1</t>
        </is>
      </c>
      <c r="B5" s="21" t="inlineStr">
        <is>
          <t>静かにする</t>
        </is>
      </c>
      <c r="C5" s="31" t="inlineStr">
        <is>
          <t>反応しない</t>
        </is>
      </c>
      <c r="D5" s="31">
        <f>COUNTIFS('③実施記録'!A:A,1,'③実施記録'!C:C,"A1",'③実施記録'!F:F,"&lt;&gt;")</f>
        <v/>
      </c>
      <c r="E5" s="31">
        <f>SUMIFS('③実施記録'!G:G,'③実施記録'!A:A,1,'③実施記録'!C:C,"A1")</f>
        <v/>
      </c>
      <c r="F5" s="31">
        <f>COUNTIFS('③実施記録'!A:A,1,'③実施記録'!C:C,"A1",'③実施記録'!H:H,"◯")</f>
        <v/>
      </c>
      <c r="G5" s="31">
        <f>COUNTIFS('③実施記録'!A:A,1,'③実施記録'!C:C,"A1",'③実施記録'!H:H,"×")</f>
        <v/>
      </c>
      <c r="H5" s="31">
        <f>COUNTIFS('③実施記録'!A:A,2,'③実施記録'!C:C,"A1",'③実施記録'!F:F,"&lt;&gt;")</f>
        <v/>
      </c>
      <c r="I5" s="31">
        <f>SUMIFS('③実施記録'!G:G,'③実施記録'!A:A,2,'③実施記録'!C:C,"A1")</f>
        <v/>
      </c>
      <c r="J5" s="31">
        <f>COUNTIFS('③実施記録'!A:A,2,'③実施記録'!C:C,"A1",'③実施記録'!H:H,"◯")</f>
        <v/>
      </c>
      <c r="K5" s="31">
        <f>COUNTIFS('③実施記録'!A:A,2,'③実施記録'!C:C,"A1",'③実施記録'!H:H,"×")</f>
        <v/>
      </c>
    </row>
    <row r="6" ht="17.25" customHeight="1" s="41">
      <c r="A6" s="20" t="inlineStr">
        <is>
          <t>A2</t>
        </is>
      </c>
      <c r="B6" s="21" t="inlineStr">
        <is>
          <t>ふつうの雑談（10分）</t>
        </is>
      </c>
      <c r="C6" s="31" t="inlineStr">
        <is>
          <t>反応しない</t>
        </is>
      </c>
      <c r="D6" s="31">
        <f>COUNTIFS('③実施記録'!A:A,1,'③実施記録'!C:C,"A2",'③実施記録'!F:F,"&lt;&gt;")</f>
        <v/>
      </c>
      <c r="E6" s="31">
        <f>SUMIFS('③実施記録'!G:G,'③実施記録'!A:A,1,'③実施記録'!C:C,"A2")</f>
        <v/>
      </c>
      <c r="F6" s="31">
        <f>COUNTIFS('③実施記録'!A:A,1,'③実施記録'!C:C,"A2",'③実施記録'!H:H,"◯")</f>
        <v/>
      </c>
      <c r="G6" s="31">
        <f>COUNTIFS('③実施記録'!A:A,1,'③実施記録'!C:C,"A2",'③実施記録'!H:H,"×")</f>
        <v/>
      </c>
      <c r="H6" s="31">
        <f>COUNTIFS('③実施記録'!A:A,2,'③実施記録'!C:C,"A2",'③実施記録'!F:F,"&lt;&gt;")</f>
        <v/>
      </c>
      <c r="I6" s="31">
        <f>SUMIFS('③実施記録'!G:G,'③実施記録'!A:A,2,'③実施記録'!C:C,"A2")</f>
        <v/>
      </c>
      <c r="J6" s="31">
        <f>COUNTIFS('③実施記録'!A:A,2,'③実施記録'!C:C,"A2",'③実施記録'!H:H,"◯")</f>
        <v/>
      </c>
      <c r="K6" s="31">
        <f>COUNTIFS('③実施記録'!A:A,2,'③実施記録'!C:C,"A2",'③実施記録'!H:H,"×")</f>
        <v/>
      </c>
    </row>
    <row r="7" ht="17.25" customHeight="1" s="41">
      <c r="A7" s="20" t="inlineStr">
        <is>
          <t>A3</t>
        </is>
      </c>
      <c r="B7" s="21" t="inlineStr">
        <is>
          <t>本を読む</t>
        </is>
      </c>
      <c r="C7" s="31" t="inlineStr">
        <is>
          <t>反応しない</t>
        </is>
      </c>
      <c r="D7" s="31">
        <f>COUNTIFS('③実施記録'!A:A,1,'③実施記録'!C:C,"A3",'③実施記録'!F:F,"&lt;&gt;")</f>
        <v/>
      </c>
      <c r="E7" s="31">
        <f>SUMIFS('③実施記録'!G:G,'③実施記録'!A:A,1,'③実施記録'!C:C,"A3")</f>
        <v/>
      </c>
      <c r="F7" s="31">
        <f>COUNTIFS('③実施記録'!A:A,1,'③実施記録'!C:C,"A3",'③実施記録'!H:H,"◯")</f>
        <v/>
      </c>
      <c r="G7" s="31">
        <f>COUNTIFS('③実施記録'!A:A,1,'③実施記録'!C:C,"A3",'③実施記録'!H:H,"×")</f>
        <v/>
      </c>
      <c r="H7" s="31">
        <f>COUNTIFS('③実施記録'!A:A,2,'③実施記録'!C:C,"A3",'③実施記録'!F:F,"&lt;&gt;")</f>
        <v/>
      </c>
      <c r="I7" s="31">
        <f>SUMIFS('③実施記録'!G:G,'③実施記録'!A:A,2,'③実施記録'!C:C,"A3")</f>
        <v/>
      </c>
      <c r="J7" s="31">
        <f>COUNTIFS('③実施記録'!A:A,2,'③実施記録'!C:C,"A3",'③実施記録'!H:H,"◯")</f>
        <v/>
      </c>
      <c r="K7" s="31">
        <f>COUNTIFS('③実施記録'!A:A,2,'③実施記録'!C:C,"A3",'③実施記録'!H:H,"×")</f>
        <v/>
      </c>
    </row>
    <row r="8" ht="17.25" customHeight="1" s="41">
      <c r="A8" s="20" t="inlineStr">
        <is>
          <t>A4</t>
        </is>
      </c>
      <c r="B8" s="21" t="inlineStr">
        <is>
          <t>生活音を出す</t>
        </is>
      </c>
      <c r="C8" s="31" t="inlineStr">
        <is>
          <t>反応しない</t>
        </is>
      </c>
      <c r="D8" s="31">
        <f>COUNTIFS('③実施記録'!A:A,1,'③実施記録'!C:C,"A4",'③実施記録'!F:F,"&lt;&gt;")</f>
        <v/>
      </c>
      <c r="E8" s="31">
        <f>SUMIFS('③実施記録'!G:G,'③実施記録'!A:A,1,'③実施記録'!C:C,"A4")</f>
        <v/>
      </c>
      <c r="F8" s="31">
        <f>COUNTIFS('③実施記録'!A:A,1,'③実施記録'!C:C,"A4",'③実施記録'!H:H,"◯")</f>
        <v/>
      </c>
      <c r="G8" s="31">
        <f>COUNTIFS('③実施記録'!A:A,1,'③実施記録'!C:C,"A4",'③実施記録'!H:H,"×")</f>
        <v/>
      </c>
      <c r="H8" s="31">
        <f>COUNTIFS('③実施記録'!A:A,2,'③実施記録'!C:C,"A4",'③実施記録'!F:F,"&lt;&gt;")</f>
        <v/>
      </c>
      <c r="I8" s="31">
        <f>SUMIFS('③実施記録'!G:G,'③実施記録'!A:A,2,'③実施記録'!C:C,"A4")</f>
        <v/>
      </c>
      <c r="J8" s="31">
        <f>COUNTIFS('③実施記録'!A:A,2,'③実施記録'!C:C,"A4",'③実施記録'!H:H,"◯")</f>
        <v/>
      </c>
      <c r="K8" s="31">
        <f>COUNTIFS('③実施記録'!A:A,2,'③実施記録'!C:C,"A4",'③実施記録'!H:H,"×")</f>
        <v/>
      </c>
    </row>
    <row r="9" ht="33.75" customHeight="1" s="41">
      <c r="A9" s="20" t="inlineStr">
        <is>
          <t>A5</t>
        </is>
      </c>
      <c r="B9" s="21" t="inlineStr">
        <is>
          <t>最初のあいさつ（かけ直し）</t>
        </is>
      </c>
      <c r="C9" s="31" t="inlineStr">
        <is>
          <t>反応しない</t>
        </is>
      </c>
      <c r="D9" s="31">
        <f>COUNTIFS('③実施記録'!A:A,1,'③実施記録'!C:C,"A5",'③実施記録'!F:F,"&lt;&gt;")</f>
        <v/>
      </c>
      <c r="E9" s="31">
        <f>SUMIFS('③実施記録'!G:G,'③実施記録'!A:A,1,'③実施記録'!C:C,"A5")</f>
        <v/>
      </c>
      <c r="F9" s="31">
        <f>COUNTIFS('③実施記録'!A:A,1,'③実施記録'!C:C,"A5",'③実施記録'!H:H,"◯")</f>
        <v/>
      </c>
      <c r="G9" s="31">
        <f>COUNTIFS('③実施記録'!A:A,1,'③実施記録'!C:C,"A5",'③実施記録'!H:H,"×")</f>
        <v/>
      </c>
      <c r="H9" s="31">
        <f>COUNTIFS('③実施記録'!A:A,2,'③実施記録'!C:C,"A5",'③実施記録'!F:F,"&lt;&gt;")</f>
        <v/>
      </c>
      <c r="I9" s="31">
        <f>SUMIFS('③実施記録'!G:G,'③実施記録'!A:A,2,'③実施記録'!C:C,"A5")</f>
        <v/>
      </c>
      <c r="J9" s="31">
        <f>COUNTIFS('③実施記録'!A:A,2,'③実施記録'!C:C,"A5",'③実施記録'!H:H,"◯")</f>
        <v/>
      </c>
      <c r="K9" s="31">
        <f>COUNTIFS('③実施記録'!A:A,2,'③実施記録'!C:C,"A5",'③実施記録'!H:H,"×")</f>
        <v/>
      </c>
    </row>
    <row r="10" ht="17.25" customHeight="1" s="41">
      <c r="A10" s="20" t="inlineStr">
        <is>
          <t>A6</t>
        </is>
      </c>
      <c r="B10" s="21" t="inlineStr">
        <is>
          <t>立って戻る</t>
        </is>
      </c>
      <c r="C10" s="31" t="inlineStr">
        <is>
          <t>反応しない</t>
        </is>
      </c>
      <c r="D10" s="31">
        <f>COUNTIFS('③実施記録'!A:A,1,'③実施記録'!C:C,"A6",'③実施記録'!F:F,"&lt;&gt;")</f>
        <v/>
      </c>
      <c r="E10" s="31">
        <f>SUMIFS('③実施記録'!G:G,'③実施記録'!A:A,1,'③実施記録'!C:C,"A6")</f>
        <v/>
      </c>
      <c r="F10" s="31">
        <f>COUNTIFS('③実施記録'!A:A,1,'③実施記録'!C:C,"A6",'③実施記録'!H:H,"◯")</f>
        <v/>
      </c>
      <c r="G10" s="31">
        <f>COUNTIFS('③実施記録'!A:A,1,'③実施記録'!C:C,"A6",'③実施記録'!H:H,"×")</f>
        <v/>
      </c>
      <c r="H10" s="31">
        <f>COUNTIFS('③実施記録'!A:A,2,'③実施記録'!C:C,"A6",'③実施記録'!F:F,"&lt;&gt;")</f>
        <v/>
      </c>
      <c r="I10" s="31">
        <f>SUMIFS('③実施記録'!G:G,'③実施記録'!A:A,2,'③実施記録'!C:C,"A6")</f>
        <v/>
      </c>
      <c r="J10" s="31">
        <f>COUNTIFS('③実施記録'!A:A,2,'③実施記録'!C:C,"A6",'③実施記録'!H:H,"◯")</f>
        <v/>
      </c>
      <c r="K10" s="31">
        <f>COUNTIFS('③実施記録'!A:A,2,'③実施記録'!C:C,"A6",'③実施記録'!H:H,"×")</f>
        <v/>
      </c>
    </row>
    <row r="11" ht="17.25" customHeight="1" s="41">
      <c r="A11" s="26" t="inlineStr">
        <is>
          <t>B1</t>
        </is>
      </c>
      <c r="B11" s="27" t="inlineStr">
        <is>
          <t>声を出して笑う</t>
        </is>
      </c>
      <c r="C11" s="31" t="inlineStr">
        <is>
          <t>反応する</t>
        </is>
      </c>
      <c r="D11" s="31">
        <f>COUNTIFS('③実施記録'!A:A,1,'③実施記録'!C:C,"B1",'③実施記録'!F:F,"&lt;&gt;")</f>
        <v/>
      </c>
      <c r="E11" s="31">
        <f>SUMIFS('③実施記録'!G:G,'③実施記録'!A:A,1,'③実施記録'!C:C,"B1")</f>
        <v/>
      </c>
      <c r="F11" s="31">
        <f>COUNTIFS('③実施記録'!A:A,1,'③実施記録'!C:C,"B1",'③実施記録'!H:H,"◯")</f>
        <v/>
      </c>
      <c r="G11" s="31">
        <f>COUNTIFS('③実施記録'!A:A,1,'③実施記録'!C:C,"B1",'③実施記録'!H:H,"×")</f>
        <v/>
      </c>
      <c r="H11" s="31">
        <f>COUNTIFS('③実施記録'!A:A,2,'③実施記録'!C:C,"B1",'③実施記録'!F:F,"&lt;&gt;")</f>
        <v/>
      </c>
      <c r="I11" s="31">
        <f>SUMIFS('③実施記録'!G:G,'③実施記録'!A:A,2,'③実施記録'!C:C,"B1")</f>
        <v/>
      </c>
      <c r="J11" s="31">
        <f>COUNTIFS('③実施記録'!A:A,2,'③実施記録'!C:C,"B1",'③実施記録'!H:H,"◯")</f>
        <v/>
      </c>
      <c r="K11" s="31">
        <f>COUNTIFS('③実施記録'!A:A,2,'③実施記録'!C:C,"B1",'③実施記録'!H:H,"×")</f>
        <v/>
      </c>
    </row>
    <row r="12" ht="17.25" customHeight="1" s="41">
      <c r="A12" s="26" t="inlineStr">
        <is>
          <t>B2</t>
        </is>
      </c>
      <c r="B12" s="27" t="inlineStr">
        <is>
          <t>驚く</t>
        </is>
      </c>
      <c r="C12" s="31" t="inlineStr">
        <is>
          <t>反応する</t>
        </is>
      </c>
      <c r="D12" s="31">
        <f>COUNTIFS('③実施記録'!A:A,1,'③実施記録'!C:C,"B2",'③実施記録'!F:F,"&lt;&gt;")</f>
        <v/>
      </c>
      <c r="E12" s="31">
        <f>SUMIFS('③実施記録'!G:G,'③実施記録'!A:A,1,'③実施記録'!C:C,"B2")</f>
        <v/>
      </c>
      <c r="F12" s="31">
        <f>COUNTIFS('③実施記録'!A:A,1,'③実施記録'!C:C,"B2",'③実施記録'!H:H,"◯")</f>
        <v/>
      </c>
      <c r="G12" s="31">
        <f>COUNTIFS('③実施記録'!A:A,1,'③実施記録'!C:C,"B2",'③実施記録'!H:H,"×")</f>
        <v/>
      </c>
      <c r="H12" s="31">
        <f>COUNTIFS('③実施記録'!A:A,2,'③実施記録'!C:C,"B2",'③実施記録'!F:F,"&lt;&gt;")</f>
        <v/>
      </c>
      <c r="I12" s="31">
        <f>SUMIFS('③実施記録'!G:G,'③実施記録'!A:A,2,'③実施記録'!C:C,"B2")</f>
        <v/>
      </c>
      <c r="J12" s="31">
        <f>COUNTIFS('③実施記録'!A:A,2,'③実施記録'!C:C,"B2",'③実施記録'!H:H,"◯")</f>
        <v/>
      </c>
      <c r="K12" s="31">
        <f>COUNTIFS('③実施記録'!A:A,2,'③実施記録'!C:C,"B2",'③実施記録'!H:H,"×")</f>
        <v/>
      </c>
    </row>
    <row r="13" ht="17.25" customHeight="1" s="41">
      <c r="A13" s="26" t="inlineStr">
        <is>
          <t>B3</t>
        </is>
      </c>
      <c r="B13" s="27" t="inlineStr">
        <is>
          <t>怒る</t>
        </is>
      </c>
      <c r="C13" s="31" t="inlineStr">
        <is>
          <t>反応する</t>
        </is>
      </c>
      <c r="D13" s="31">
        <f>COUNTIFS('③実施記録'!A:A,1,'③実施記録'!C:C,"B3",'③実施記録'!F:F,"&lt;&gt;")</f>
        <v/>
      </c>
      <c r="E13" s="31">
        <f>SUMIFS('③実施記録'!G:G,'③実施記録'!A:A,1,'③実施記録'!C:C,"B3")</f>
        <v/>
      </c>
      <c r="F13" s="31">
        <f>COUNTIFS('③実施記録'!A:A,1,'③実施記録'!C:C,"B3",'③実施記録'!H:H,"◯")</f>
        <v/>
      </c>
      <c r="G13" s="31">
        <f>COUNTIFS('③実施記録'!A:A,1,'③実施記録'!C:C,"B3",'③実施記録'!H:H,"×")</f>
        <v/>
      </c>
      <c r="H13" s="31">
        <f>COUNTIFS('③実施記録'!A:A,2,'③実施記録'!C:C,"B3",'③実施記録'!F:F,"&lt;&gt;")</f>
        <v/>
      </c>
      <c r="I13" s="31">
        <f>SUMIFS('③実施記録'!G:G,'③実施記録'!A:A,2,'③実施記録'!C:C,"B3")</f>
        <v/>
      </c>
      <c r="J13" s="31">
        <f>COUNTIFS('③実施記録'!A:A,2,'③実施記録'!C:C,"B3",'③実施記録'!H:H,"◯")</f>
        <v/>
      </c>
      <c r="K13" s="31">
        <f>COUNTIFS('③実施記録'!A:A,2,'③実施記録'!C:C,"B3",'③実施記録'!H:H,"×")</f>
        <v/>
      </c>
    </row>
    <row r="14" ht="33.75" customHeight="1" s="41">
      <c r="A14" s="26" t="inlineStr">
        <is>
          <t>B4</t>
        </is>
      </c>
      <c r="B14" s="27" t="inlineStr">
        <is>
          <t>静かに笑う（声量そのまま）</t>
        </is>
      </c>
      <c r="C14" s="31" t="inlineStr">
        <is>
          <t>反応する</t>
        </is>
      </c>
      <c r="D14" s="31">
        <f>COUNTIFS('③実施記録'!A:A,1,'③実施記録'!C:C,"B4",'③実施記録'!F:F,"&lt;&gt;")</f>
        <v/>
      </c>
      <c r="E14" s="31">
        <f>SUMIFS('③実施記録'!G:G,'③実施記録'!A:A,1,'③実施記録'!C:C,"B4")</f>
        <v/>
      </c>
      <c r="F14" s="31">
        <f>COUNTIFS('③実施記録'!A:A,1,'③実施記録'!C:C,"B4",'③実施記録'!H:H,"◯")</f>
        <v/>
      </c>
      <c r="G14" s="31">
        <f>COUNTIFS('③実施記録'!A:A,1,'③実施記録'!C:C,"B4",'③実施記録'!H:H,"×")</f>
        <v/>
      </c>
      <c r="H14" s="31">
        <f>COUNTIFS('③実施記録'!A:A,2,'③実施記録'!C:C,"B4",'③実施記録'!F:F,"&lt;&gt;")</f>
        <v/>
      </c>
      <c r="I14" s="31">
        <f>SUMIFS('③実施記録'!G:G,'③実施記録'!A:A,2,'③実施記録'!C:C,"B4")</f>
        <v/>
      </c>
      <c r="J14" s="31">
        <f>COUNTIFS('③実施記録'!A:A,2,'③実施記録'!C:C,"B4",'③実施記録'!H:H,"◯")</f>
        <v/>
      </c>
      <c r="K14" s="31">
        <f>COUNTIFS('③実施記録'!A:A,2,'③実施記録'!C:C,"B4",'③実施記録'!H:H,"×")</f>
        <v/>
      </c>
    </row>
    <row r="15" ht="17.25" customHeight="1" s="41">
      <c r="A15" s="26" t="inlineStr">
        <is>
          <t>B5</t>
        </is>
      </c>
      <c r="B15" s="27" t="inlineStr">
        <is>
          <t>ほめ言葉（ふだんの声）</t>
        </is>
      </c>
      <c r="C15" s="31" t="inlineStr">
        <is>
          <t>反応する</t>
        </is>
      </c>
      <c r="D15" s="31">
        <f>COUNTIFS('③実施記録'!A:A,1,'③実施記録'!C:C,"B5",'③実施記録'!F:F,"&lt;&gt;")</f>
        <v/>
      </c>
      <c r="E15" s="31">
        <f>SUMIFS('③実施記録'!G:G,'③実施記録'!A:A,1,'③実施記録'!C:C,"B5")</f>
        <v/>
      </c>
      <c r="F15" s="31">
        <f>COUNTIFS('③実施記録'!A:A,1,'③実施記録'!C:C,"B5",'③実施記録'!H:H,"◯")</f>
        <v/>
      </c>
      <c r="G15" s="31">
        <f>COUNTIFS('③実施記録'!A:A,1,'③実施記録'!C:C,"B5",'③実施記録'!H:H,"×")</f>
        <v/>
      </c>
      <c r="H15" s="31">
        <f>COUNTIFS('③実施記録'!A:A,2,'③実施記録'!C:C,"B5",'③実施記録'!F:F,"&lt;&gt;")</f>
        <v/>
      </c>
      <c r="I15" s="31">
        <f>SUMIFS('③実施記録'!G:G,'③実施記録'!A:A,2,'③実施記録'!C:C,"B5")</f>
        <v/>
      </c>
      <c r="J15" s="31">
        <f>COUNTIFS('③実施記録'!A:A,2,'③実施記録'!C:C,"B5",'③実施記録'!H:H,"◯")</f>
        <v/>
      </c>
      <c r="K15" s="31">
        <f>COUNTIFS('③実施記録'!A:A,2,'③実施記録'!C:C,"B5",'③実施記録'!H:H,"×")</f>
        <v/>
      </c>
    </row>
    <row r="16" ht="17.25" customHeight="1" s="41">
      <c r="A16" s="26" t="inlineStr">
        <is>
          <t>B6</t>
        </is>
      </c>
      <c r="B16" s="27" t="inlineStr">
        <is>
          <t>感極まる</t>
        </is>
      </c>
      <c r="C16" s="31" t="inlineStr">
        <is>
          <t>反応する</t>
        </is>
      </c>
      <c r="D16" s="31">
        <f>COUNTIFS('③実施記録'!A:A,1,'③実施記録'!C:C,"B6",'③実施記録'!F:F,"&lt;&gt;")</f>
        <v/>
      </c>
      <c r="E16" s="31">
        <f>SUMIFS('③実施記録'!G:G,'③実施記録'!A:A,1,'③実施記録'!C:C,"B6")</f>
        <v/>
      </c>
      <c r="F16" s="31">
        <f>COUNTIFS('③実施記録'!A:A,1,'③実施記録'!C:C,"B6",'③実施記録'!H:H,"◯")</f>
        <v/>
      </c>
      <c r="G16" s="31">
        <f>COUNTIFS('③実施記録'!A:A,1,'③実施記録'!C:C,"B6",'③実施記録'!H:H,"×")</f>
        <v/>
      </c>
      <c r="H16" s="31">
        <f>COUNTIFS('③実施記録'!A:A,2,'③実施記録'!C:C,"B6",'③実施記録'!F:F,"&lt;&gt;")</f>
        <v/>
      </c>
      <c r="I16" s="31">
        <f>SUMIFS('③実施記録'!G:G,'③実施記録'!A:A,2,'③実施記録'!C:C,"B6")</f>
        <v/>
      </c>
      <c r="J16" s="31">
        <f>COUNTIFS('③実施記録'!A:A,2,'③実施記録'!C:C,"B6",'③実施記録'!H:H,"◯")</f>
        <v/>
      </c>
      <c r="K16" s="31">
        <f>COUNTIFS('③実施記録'!A:A,2,'③実施記録'!C:C,"B6",'③実施記録'!H:H,"×")</f>
        <v/>
      </c>
    </row>
    <row r="17" ht="17.25" customHeight="1" s="41">
      <c r="A17" s="29" t="inlineStr">
        <is>
          <t>C1</t>
        </is>
      </c>
      <c r="B17" s="30" t="inlineStr">
        <is>
          <t>咳・くしゃみ・あくび</t>
        </is>
      </c>
      <c r="C17" s="31" t="inlineStr">
        <is>
          <t>記録のみ</t>
        </is>
      </c>
      <c r="D17" s="31">
        <f>COUNTIFS('③実施記録'!A:A,1,'③実施記録'!C:C,"C1",'③実施記録'!F:F,"&lt;&gt;")</f>
        <v/>
      </c>
      <c r="E17" s="31">
        <f>SUMIFS('③実施記録'!G:G,'③実施記録'!A:A,1,'③実施記録'!C:C,"C1")</f>
        <v/>
      </c>
      <c r="F17" s="31">
        <f>COUNTIFS('③実施記録'!A:A,1,'③実施記録'!C:C,"C1",'③実施記録'!H:H,"◯")</f>
        <v/>
      </c>
      <c r="G17" s="31">
        <f>COUNTIFS('③実施記録'!A:A,1,'③実施記録'!C:C,"C1",'③実施記録'!H:H,"×")</f>
        <v/>
      </c>
      <c r="H17" s="31">
        <f>COUNTIFS('③実施記録'!A:A,2,'③実施記録'!C:C,"C1",'③実施記録'!F:F,"&lt;&gt;")</f>
        <v/>
      </c>
      <c r="I17" s="31">
        <f>SUMIFS('③実施記録'!G:G,'③実施記録'!A:A,2,'③実施記録'!C:C,"C1")</f>
        <v/>
      </c>
      <c r="J17" s="31">
        <f>COUNTIFS('③実施記録'!A:A,2,'③実施記録'!C:C,"C1",'③実施記録'!H:H,"◯")</f>
        <v/>
      </c>
      <c r="K17" s="31">
        <f>COUNTIFS('③実施記録'!A:A,2,'③実施記録'!C:C,"C1",'③実施記録'!H:H,"×")</f>
        <v/>
      </c>
    </row>
    <row r="18" ht="17.25" customHeight="1" s="41">
      <c r="A18" s="29" t="inlineStr">
        <is>
          <t>C2</t>
        </is>
      </c>
      <c r="B18" s="30" t="inlineStr">
        <is>
          <t>笑い続ける30秒</t>
        </is>
      </c>
      <c r="C18" s="19" t="inlineStr">
        <is>
          <t>2回以上反応が正解</t>
        </is>
      </c>
      <c r="D18" s="31">
        <f>COUNTIFS('③実施記録'!A:A,1,'③実施記録'!C:C,"C2",'③実施記録'!F:F,"&lt;&gt;")</f>
        <v/>
      </c>
      <c r="E18" s="31">
        <f>SUMIFS('③実施記録'!G:G,'③実施記録'!A:A,1,'③実施記録'!C:C,"C2")</f>
        <v/>
      </c>
      <c r="F18" s="31">
        <f>COUNTIFS('③実施記録'!A:A,1,'③実施記録'!C:C,"C2",'③実施記録'!H:H,"◯")</f>
        <v/>
      </c>
      <c r="G18" s="31">
        <f>COUNTIFS('③実施記録'!A:A,1,'③実施記録'!C:C,"C2",'③実施記録'!H:H,"×")</f>
        <v/>
      </c>
      <c r="H18" s="31">
        <f>COUNTIFS('③実施記録'!A:A,2,'③実施記録'!C:C,"C2",'③実施記録'!F:F,"&lt;&gt;")</f>
        <v/>
      </c>
      <c r="I18" s="31">
        <f>SUMIFS('③実施記録'!G:G,'③実施記録'!A:A,2,'③実施記録'!C:C,"C2")</f>
        <v/>
      </c>
      <c r="J18" s="31">
        <f>COUNTIFS('③実施記録'!A:A,2,'③実施記録'!C:C,"C2",'③実施記録'!H:H,"◯")</f>
        <v/>
      </c>
      <c r="K18" s="31">
        <f>COUNTIFS('③実施記録'!A:A,2,'③実施記録'!C:C,"C2",'③実施記録'!H:H,"×")</f>
        <v/>
      </c>
    </row>
    <row r="19" ht="33.75" customHeight="1" s="41">
      <c r="A19" s="29" t="inlineStr">
        <is>
          <t>C3</t>
        </is>
      </c>
      <c r="B19" s="30" t="inlineStr">
        <is>
          <t>家族側が大声（テスター無言）</t>
        </is>
      </c>
      <c r="C19" s="31" t="inlineStr">
        <is>
          <t>記録のみ</t>
        </is>
      </c>
      <c r="D19" s="31">
        <f>COUNTIFS('③実施記録'!A:A,1,'③実施記録'!C:C,"C3",'③実施記録'!F:F,"&lt;&gt;")</f>
        <v/>
      </c>
      <c r="E19" s="31">
        <f>SUMIFS('③実施記録'!G:G,'③実施記録'!A:A,1,'③実施記録'!C:C,"C3")</f>
        <v/>
      </c>
      <c r="F19" s="31">
        <f>COUNTIFS('③実施記録'!A:A,1,'③実施記録'!C:C,"C3",'③実施記録'!H:H,"◯")</f>
        <v/>
      </c>
      <c r="G19" s="31">
        <f>COUNTIFS('③実施記録'!A:A,1,'③実施記録'!C:C,"C3",'③実施記録'!H:H,"×")</f>
        <v/>
      </c>
      <c r="H19" s="31">
        <f>COUNTIFS('③実施記録'!A:A,2,'③実施記録'!C:C,"C3",'③実施記録'!F:F,"&lt;&gt;")</f>
        <v/>
      </c>
      <c r="I19" s="31">
        <f>SUMIFS('③実施記録'!G:G,'③実施記録'!A:A,2,'③実施記録'!C:C,"C3")</f>
        <v/>
      </c>
      <c r="J19" s="31">
        <f>COUNTIFS('③実施記録'!A:A,2,'③実施記録'!C:C,"C3",'③実施記録'!H:H,"◯")</f>
        <v/>
      </c>
      <c r="K19" s="31">
        <f>COUNTIFS('③実施記録'!A:A,2,'③実施記録'!C:C,"C3",'③実施記録'!H:H,"×")</f>
        <v/>
      </c>
    </row>
    <row r="20" ht="14.25" customHeight="1" s="41"/>
    <row r="21" ht="15" customHeight="1" s="41">
      <c r="A21" s="12" t="inlineStr">
        <is>
          <t>※ この表は自動計算です。手で書き換えないでください。</t>
        </is>
      </c>
    </row>
    <row r="22" ht="14.25" customHeight="1" s="41"/>
    <row r="23" ht="14.25" customHeight="1" s="41"/>
    <row r="24" ht="14.25" customHeight="1" s="41"/>
    <row r="25" ht="14.25" customHeight="1" s="41"/>
    <row r="26" ht="14.25" customHeight="1" s="41"/>
    <row r="27" ht="14.25" customHeight="1" s="41"/>
    <row r="28" ht="14.25" customHeight="1" s="41"/>
    <row r="29" ht="14.25" customHeight="1" s="41"/>
    <row r="30" ht="14.25" customHeight="1" s="41"/>
    <row r="31" ht="14.25" customHeight="1" s="41"/>
    <row r="32" ht="14.25" customHeight="1" s="41"/>
    <row r="33" ht="14.25" customHeight="1" s="41"/>
    <row r="34" ht="14.25" customHeight="1" s="41"/>
    <row r="35" ht="14.25" customHeight="1" s="41"/>
    <row r="36" ht="14.25" customHeight="1" s="41"/>
    <row r="37" ht="14.25" customHeight="1" s="41"/>
    <row r="38" ht="14.25" customHeight="1" s="41"/>
    <row r="39" ht="14.25" customHeight="1" s="41"/>
    <row r="40" ht="14.25" customHeight="1" s="41"/>
    <row r="41" ht="14.25" customHeight="1" s="41"/>
    <row r="42" ht="14.25" customHeight="1" s="41"/>
    <row r="43" ht="14.25" customHeight="1" s="41"/>
    <row r="44" ht="14.25" customHeight="1" s="41"/>
    <row r="45" ht="14.25" customHeight="1" s="41"/>
    <row r="46" ht="14.25" customHeight="1" s="41"/>
    <row r="47" ht="14.25" customHeight="1" s="41"/>
    <row r="48" ht="14.25" customHeight="1" s="41"/>
    <row r="49" ht="14.25" customHeight="1" s="41"/>
    <row r="50" ht="14.25" customHeight="1" s="41"/>
    <row r="51" ht="14.25" customHeight="1" s="41"/>
    <row r="52" ht="14.25" customHeight="1" s="41"/>
    <row r="53" ht="14.25" customHeight="1" s="41"/>
    <row r="54" ht="14.25" customHeight="1" s="41"/>
    <row r="55" ht="14.25" customHeight="1" s="41"/>
    <row r="56" ht="14.25" customHeight="1" s="41"/>
    <row r="57" ht="14.25" customHeight="1" s="41"/>
    <row r="58" ht="14.25" customHeight="1" s="41"/>
    <row r="59" ht="14.25" customHeight="1" s="41"/>
    <row r="60" ht="14.25" customHeight="1" s="41"/>
    <row r="61" ht="14.25" customHeight="1" s="41"/>
    <row r="62" ht="14.25" customHeight="1" s="41"/>
    <row r="63" ht="14.25" customHeight="1" s="41"/>
    <row r="64" ht="14.25" customHeight="1" s="41"/>
    <row r="65" ht="14.25" customHeight="1" s="41"/>
    <row r="66" ht="14.25" customHeight="1" s="41"/>
    <row r="67" ht="14.25" customHeight="1" s="41"/>
    <row r="68" ht="14.25" customHeight="1" s="41"/>
    <row r="69" ht="14.25" customHeight="1" s="41"/>
    <row r="70" ht="14.25" customHeight="1" s="41"/>
    <row r="71" ht="14.25" customHeight="1" s="41"/>
    <row r="72" ht="14.25" customHeight="1" s="41"/>
    <row r="73" ht="14.25" customHeight="1" s="41"/>
    <row r="74" ht="14.25" customHeight="1" s="41"/>
    <row r="75" ht="14.25" customHeight="1" s="41"/>
    <row r="76" ht="14.25" customHeight="1" s="41"/>
    <row r="77" ht="14.25" customHeight="1" s="41"/>
    <row r="78" ht="14.25" customHeight="1" s="41"/>
    <row r="79" ht="14.25" customHeight="1" s="41"/>
    <row r="80" ht="14.25" customHeight="1" s="41"/>
    <row r="81" ht="14.25" customHeight="1" s="41"/>
    <row r="82" ht="14.25" customHeight="1" s="41"/>
    <row r="83" ht="14.25" customHeight="1" s="41"/>
    <row r="84" ht="14.25" customHeight="1" s="41"/>
    <row r="85" ht="14.25" customHeight="1" s="41"/>
    <row r="86" ht="14.25" customHeight="1" s="41"/>
    <row r="87" ht="14.25" customHeight="1" s="41"/>
    <row r="88" ht="14.25" customHeight="1" s="41"/>
    <row r="89" ht="14.25" customHeight="1" s="41"/>
    <row r="90" ht="14.25" customHeight="1" s="41"/>
    <row r="91" ht="14.25" customHeight="1" s="41"/>
    <row r="92" ht="14.25" customHeight="1" s="41"/>
    <row r="93" ht="14.25" customHeight="1" s="41"/>
    <row r="94" ht="14.25" customHeight="1" s="41"/>
    <row r="95" ht="14.25" customHeight="1" s="41"/>
    <row r="96" ht="14.25" customHeight="1" s="41"/>
    <row r="97" ht="14.25" customHeight="1" s="41"/>
    <row r="98" ht="14.25" customHeight="1" s="41"/>
    <row r="99" ht="14.25" customHeight="1" s="41"/>
    <row r="100" ht="14.25" customHeight="1" s="41"/>
    <row r="101" ht="14.25" customHeight="1" s="41"/>
    <row r="102" ht="14.25" customHeight="1" s="41"/>
    <row r="103" ht="14.25" customHeight="1" s="41"/>
    <row r="104" ht="14.25" customHeight="1" s="41"/>
    <row r="105" ht="14.25" customHeight="1" s="41"/>
    <row r="106" ht="14.25" customHeight="1" s="41"/>
    <row r="107" ht="14.25" customHeight="1" s="41"/>
    <row r="108" ht="14.25" customHeight="1" s="41"/>
    <row r="109" ht="14.25" customHeight="1" s="41"/>
    <row r="110" ht="14.25" customHeight="1" s="41"/>
    <row r="111" ht="14.25" customHeight="1" s="41"/>
    <row r="112" ht="14.25" customHeight="1" s="41"/>
    <row r="113" ht="14.25" customHeight="1" s="41"/>
    <row r="114" ht="14.25" customHeight="1" s="41"/>
    <row r="115" ht="14.25" customHeight="1" s="41"/>
    <row r="116" ht="14.25" customHeight="1" s="41"/>
    <row r="117" ht="14.25" customHeight="1" s="41"/>
    <row r="118" ht="14.25" customHeight="1" s="41"/>
    <row r="119" ht="14.25" customHeight="1" s="41"/>
    <row r="120" ht="14.25" customHeight="1" s="41"/>
    <row r="121" ht="14.25" customHeight="1" s="41"/>
    <row r="122" ht="14.25" customHeight="1" s="41"/>
    <row r="123" ht="14.25" customHeight="1" s="41"/>
    <row r="124" ht="14.25" customHeight="1" s="41"/>
    <row r="125" ht="14.25" customHeight="1" s="41"/>
    <row r="126" ht="14.25" customHeight="1" s="41"/>
    <row r="127" ht="14.25" customHeight="1" s="41"/>
    <row r="128" ht="14.25" customHeight="1" s="41"/>
    <row r="129" ht="14.25" customHeight="1" s="41"/>
    <row r="130" ht="14.25" customHeight="1" s="41"/>
    <row r="131" ht="14.25" customHeight="1" s="41"/>
    <row r="132" ht="14.25" customHeight="1" s="41"/>
    <row r="133" ht="14.25" customHeight="1" s="41"/>
    <row r="134" ht="14.25" customHeight="1" s="41"/>
    <row r="135" ht="14.25" customHeight="1" s="41"/>
    <row r="136" ht="14.25" customHeight="1" s="41"/>
    <row r="137" ht="14.25" customHeight="1" s="41"/>
    <row r="138" ht="14.25" customHeight="1" s="41"/>
    <row r="139" ht="14.25" customHeight="1" s="41"/>
    <row r="140" ht="14.25" customHeight="1" s="41"/>
    <row r="141" ht="14.25" customHeight="1" s="41"/>
    <row r="142" ht="14.25" customHeight="1" s="41"/>
    <row r="143" ht="14.25" customHeight="1" s="41"/>
    <row r="144" ht="14.25" customHeight="1" s="41"/>
    <row r="145" ht="14.25" customHeight="1" s="41"/>
    <row r="146" ht="14.25" customHeight="1" s="41"/>
    <row r="147" ht="14.25" customHeight="1" s="41"/>
    <row r="148" ht="14.25" customHeight="1" s="41"/>
    <row r="149" ht="14.25" customHeight="1" s="41"/>
    <row r="150" ht="14.25" customHeight="1" s="41"/>
    <row r="151" ht="14.25" customHeight="1" s="41"/>
    <row r="152" ht="14.25" customHeight="1" s="41"/>
    <row r="153" ht="14.25" customHeight="1" s="41"/>
    <row r="154" ht="14.25" customHeight="1" s="41"/>
    <row r="155" ht="14.25" customHeight="1" s="41"/>
    <row r="156" ht="14.25" customHeight="1" s="41"/>
    <row r="157" ht="14.25" customHeight="1" s="41"/>
    <row r="158" ht="14.25" customHeight="1" s="41"/>
    <row r="159" ht="14.25" customHeight="1" s="41"/>
    <row r="160" ht="14.25" customHeight="1" s="41"/>
    <row r="161" ht="14.25" customHeight="1" s="41"/>
    <row r="162" ht="14.25" customHeight="1" s="41"/>
    <row r="163" ht="14.25" customHeight="1" s="41"/>
    <row r="164" ht="14.25" customHeight="1" s="41"/>
    <row r="165" ht="14.25" customHeight="1" s="41"/>
    <row r="166" ht="14.25" customHeight="1" s="41"/>
    <row r="167" ht="14.25" customHeight="1" s="41"/>
    <row r="168" ht="14.25" customHeight="1" s="41"/>
    <row r="169" ht="14.25" customHeight="1" s="41"/>
    <row r="170" ht="14.25" customHeight="1" s="41"/>
    <row r="171" ht="14.25" customHeight="1" s="41"/>
    <row r="172" ht="14.25" customHeight="1" s="41"/>
    <row r="173" ht="14.25" customHeight="1" s="41"/>
    <row r="174" ht="14.25" customHeight="1" s="41"/>
    <row r="175" ht="14.25" customHeight="1" s="41"/>
    <row r="176" ht="14.25" customHeight="1" s="41"/>
    <row r="177" ht="14.25" customHeight="1" s="41"/>
    <row r="178" ht="14.25" customHeight="1" s="41"/>
    <row r="179" ht="14.25" customHeight="1" s="41"/>
    <row r="180" ht="14.25" customHeight="1" s="41"/>
    <row r="181" ht="14.25" customHeight="1" s="41"/>
    <row r="182" ht="14.25" customHeight="1" s="41"/>
    <row r="183" ht="14.25" customHeight="1" s="41"/>
    <row r="184" ht="14.25" customHeight="1" s="41"/>
    <row r="185" ht="14.25" customHeight="1" s="41"/>
    <row r="186" ht="14.25" customHeight="1" s="41"/>
    <row r="187" ht="14.25" customHeight="1" s="41"/>
    <row r="188" ht="14.25" customHeight="1" s="41"/>
    <row r="189" ht="14.25" customHeight="1" s="41"/>
    <row r="190" ht="14.25" customHeight="1" s="41"/>
    <row r="191" ht="14.25" customHeight="1" s="41"/>
    <row r="192" ht="14.25" customHeight="1" s="41"/>
    <row r="193" ht="14.25" customHeight="1" s="41"/>
    <row r="194" ht="14.25" customHeight="1" s="41"/>
    <row r="195" ht="14.25" customHeight="1" s="41"/>
    <row r="196" ht="14.25" customHeight="1" s="41"/>
    <row r="197" ht="14.25" customHeight="1" s="41"/>
    <row r="198" ht="14.25" customHeight="1" s="41"/>
    <row r="199" ht="14.25" customHeight="1" s="41"/>
    <row r="200" ht="14.25" customHeight="1" s="41"/>
    <row r="201" ht="14.25" customHeight="1" s="41"/>
    <row r="202" ht="14.25" customHeight="1" s="41"/>
    <row r="203" ht="14.25" customHeight="1" s="41"/>
    <row r="204" ht="14.25" customHeight="1" s="41"/>
    <row r="205" ht="14.25" customHeight="1" s="41"/>
    <row r="206" ht="14.25" customHeight="1" s="41"/>
    <row r="207" ht="14.25" customHeight="1" s="41"/>
    <row r="208" ht="14.25" customHeight="1" s="41"/>
    <row r="209" ht="14.25" customHeight="1" s="41"/>
    <row r="210" ht="14.25" customHeight="1" s="41"/>
    <row r="211" ht="14.25" customHeight="1" s="41"/>
    <row r="212" ht="14.25" customHeight="1" s="41"/>
    <row r="213" ht="14.25" customHeight="1" s="41"/>
    <row r="214" ht="14.25" customHeight="1" s="41"/>
    <row r="215" ht="14.25" customHeight="1" s="41"/>
    <row r="216" ht="14.25" customHeight="1" s="41"/>
    <row r="217" ht="14.25" customHeight="1" s="41"/>
    <row r="218" ht="14.25" customHeight="1" s="41"/>
    <row r="219" ht="14.25" customHeight="1" s="41"/>
    <row r="220" ht="14.25" customHeight="1" s="41"/>
    <row r="221" ht="14.25" customHeight="1" s="41"/>
    <row r="222" ht="14.25" customHeight="1" s="41"/>
    <row r="223" ht="14.25" customHeight="1" s="41"/>
    <row r="224" ht="14.25" customHeight="1" s="41"/>
    <row r="225" ht="14.25" customHeight="1" s="41"/>
    <row r="226" ht="14.25" customHeight="1" s="41"/>
    <row r="227" ht="14.25" customHeight="1" s="41"/>
    <row r="228" ht="14.25" customHeight="1" s="41"/>
    <row r="229" ht="14.25" customHeight="1" s="41"/>
    <row r="230" ht="14.25" customHeight="1" s="41"/>
    <row r="231" ht="14.25" customHeight="1" s="41"/>
    <row r="232" ht="14.25" customHeight="1" s="41"/>
    <row r="233" ht="14.25" customHeight="1" s="41"/>
    <row r="234" ht="14.25" customHeight="1" s="41"/>
    <row r="235" ht="14.25" customHeight="1" s="41"/>
    <row r="236" ht="14.25" customHeight="1" s="41"/>
    <row r="237" ht="14.25" customHeight="1" s="41"/>
    <row r="238" ht="14.25" customHeight="1" s="41"/>
    <row r="239" ht="14.25" customHeight="1" s="41"/>
    <row r="240" ht="14.25" customHeight="1" s="41"/>
    <row r="241" ht="14.25" customHeight="1" s="41"/>
    <row r="242" ht="14.25" customHeight="1" s="41"/>
    <row r="243" ht="14.25" customHeight="1" s="41"/>
    <row r="244" ht="14.25" customHeight="1" s="41"/>
    <row r="245" ht="14.25" customHeight="1" s="41"/>
    <row r="246" ht="14.25" customHeight="1" s="41"/>
    <row r="247" ht="14.25" customHeight="1" s="41"/>
    <row r="248" ht="14.25" customHeight="1" s="41"/>
    <row r="249" ht="14.25" customHeight="1" s="41"/>
    <row r="250" ht="14.25" customHeight="1" s="41"/>
    <row r="251" ht="14.25" customHeight="1" s="41"/>
    <row r="252" ht="14.25" customHeight="1" s="41"/>
    <row r="253" ht="14.25" customHeight="1" s="41"/>
    <row r="254" ht="14.25" customHeight="1" s="41"/>
    <row r="255" ht="14.25" customHeight="1" s="41"/>
    <row r="256" ht="14.25" customHeight="1" s="41"/>
    <row r="257" ht="14.25" customHeight="1" s="41"/>
    <row r="258" ht="14.25" customHeight="1" s="41"/>
    <row r="259" ht="14.25" customHeight="1" s="41"/>
    <row r="260" ht="14.25" customHeight="1" s="41"/>
    <row r="261" ht="14.25" customHeight="1" s="41"/>
    <row r="262" ht="14.25" customHeight="1" s="41"/>
    <row r="263" ht="14.25" customHeight="1" s="41"/>
    <row r="264" ht="14.25" customHeight="1" s="41"/>
    <row r="265" ht="14.25" customHeight="1" s="41"/>
    <row r="266" ht="14.25" customHeight="1" s="41"/>
    <row r="267" ht="14.25" customHeight="1" s="41"/>
    <row r="268" ht="14.25" customHeight="1" s="41"/>
    <row r="269" ht="14.25" customHeight="1" s="41"/>
    <row r="270" ht="14.25" customHeight="1" s="41"/>
    <row r="271" ht="14.25" customHeight="1" s="41"/>
    <row r="272" ht="14.25" customHeight="1" s="41"/>
    <row r="273" ht="14.25" customHeight="1" s="41"/>
    <row r="274" ht="14.25" customHeight="1" s="41"/>
    <row r="275" ht="14.25" customHeight="1" s="41"/>
    <row r="276" ht="14.25" customHeight="1" s="41"/>
    <row r="277" ht="14.25" customHeight="1" s="41"/>
    <row r="278" ht="14.25" customHeight="1" s="41"/>
    <row r="279" ht="14.25" customHeight="1" s="41"/>
    <row r="280" ht="14.25" customHeight="1" s="41"/>
    <row r="281" ht="14.25" customHeight="1" s="41"/>
    <row r="282" ht="14.25" customHeight="1" s="41"/>
    <row r="283" ht="14.25" customHeight="1" s="41"/>
    <row r="284" ht="14.25" customHeight="1" s="41"/>
    <row r="285" ht="14.25" customHeight="1" s="41"/>
    <row r="286" ht="14.25" customHeight="1" s="41"/>
    <row r="287" ht="14.25" customHeight="1" s="41"/>
    <row r="288" ht="14.25" customHeight="1" s="41"/>
    <row r="289" ht="14.25" customHeight="1" s="41"/>
    <row r="290" ht="14.25" customHeight="1" s="41"/>
    <row r="291" ht="14.25" customHeight="1" s="41"/>
    <row r="292" ht="14.25" customHeight="1" s="41"/>
    <row r="293" ht="14.25" customHeight="1" s="41"/>
    <row r="294" ht="14.25" customHeight="1" s="41"/>
    <row r="295" ht="14.25" customHeight="1" s="41"/>
    <row r="296" ht="14.25" customHeight="1" s="41"/>
    <row r="297" ht="14.25" customHeight="1" s="41"/>
    <row r="298" ht="14.25" customHeight="1" s="41"/>
    <row r="299" ht="14.25" customHeight="1" s="41"/>
    <row r="300" ht="14.25" customHeight="1" s="41"/>
    <row r="301" ht="14.25" customHeight="1" s="41"/>
    <row r="302" ht="14.25" customHeight="1" s="41"/>
    <row r="303" ht="14.25" customHeight="1" s="41"/>
    <row r="304" ht="14.25" customHeight="1" s="41"/>
    <row r="305" ht="14.25" customHeight="1" s="41"/>
    <row r="306" ht="14.25" customHeight="1" s="41"/>
    <row r="307" ht="14.25" customHeight="1" s="41"/>
    <row r="308" ht="14.25" customHeight="1" s="41"/>
    <row r="309" ht="14.25" customHeight="1" s="41"/>
    <row r="310" ht="14.25" customHeight="1" s="41"/>
    <row r="311" ht="14.25" customHeight="1" s="41"/>
    <row r="312" ht="14.25" customHeight="1" s="41"/>
    <row r="313" ht="14.25" customHeight="1" s="41"/>
    <row r="314" ht="14.25" customHeight="1" s="41"/>
    <row r="315" ht="14.25" customHeight="1" s="41"/>
    <row r="316" ht="14.25" customHeight="1" s="41"/>
    <row r="317" ht="14.25" customHeight="1" s="41"/>
    <row r="318" ht="14.25" customHeight="1" s="41"/>
    <row r="319" ht="14.25" customHeight="1" s="41"/>
    <row r="320" ht="14.25" customHeight="1" s="41"/>
    <row r="321" ht="14.25" customHeight="1" s="41"/>
    <row r="322" ht="14.25" customHeight="1" s="41"/>
    <row r="323" ht="14.25" customHeight="1" s="41"/>
    <row r="324" ht="14.25" customHeight="1" s="41"/>
    <row r="325" ht="14.25" customHeight="1" s="41"/>
    <row r="326" ht="14.25" customHeight="1" s="41"/>
    <row r="327" ht="14.25" customHeight="1" s="41"/>
    <row r="328" ht="14.25" customHeight="1" s="41"/>
    <row r="329" ht="14.25" customHeight="1" s="41"/>
    <row r="330" ht="14.25" customHeight="1" s="41"/>
    <row r="331" ht="14.25" customHeight="1" s="41"/>
    <row r="332" ht="14.25" customHeight="1" s="41"/>
    <row r="333" ht="14.25" customHeight="1" s="41"/>
    <row r="334" ht="14.25" customHeight="1" s="41"/>
    <row r="335" ht="14.25" customHeight="1" s="41"/>
    <row r="336" ht="14.25" customHeight="1" s="41"/>
    <row r="337" ht="14.25" customHeight="1" s="41"/>
    <row r="338" ht="14.25" customHeight="1" s="41"/>
    <row r="339" ht="14.25" customHeight="1" s="41"/>
    <row r="340" ht="14.25" customHeight="1" s="41"/>
    <row r="341" ht="14.25" customHeight="1" s="41"/>
    <row r="342" ht="14.25" customHeight="1" s="41"/>
    <row r="343" ht="14.25" customHeight="1" s="41"/>
    <row r="344" ht="14.25" customHeight="1" s="41"/>
    <row r="345" ht="14.25" customHeight="1" s="41"/>
    <row r="346" ht="14.25" customHeight="1" s="41"/>
    <row r="347" ht="14.25" customHeight="1" s="41"/>
    <row r="348" ht="14.25" customHeight="1" s="41"/>
    <row r="349" ht="14.25" customHeight="1" s="41"/>
    <row r="350" ht="14.25" customHeight="1" s="41"/>
    <row r="351" ht="14.25" customHeight="1" s="41"/>
    <row r="352" ht="14.25" customHeight="1" s="41"/>
    <row r="353" ht="14.25" customHeight="1" s="41"/>
    <row r="354" ht="14.25" customHeight="1" s="41"/>
    <row r="355" ht="14.25" customHeight="1" s="41"/>
    <row r="356" ht="14.25" customHeight="1" s="41"/>
    <row r="357" ht="14.25" customHeight="1" s="41"/>
    <row r="358" ht="14.25" customHeight="1" s="41"/>
    <row r="359" ht="14.25" customHeight="1" s="41"/>
    <row r="360" ht="14.25" customHeight="1" s="41"/>
    <row r="361" ht="14.25" customHeight="1" s="41"/>
    <row r="362" ht="14.25" customHeight="1" s="41"/>
    <row r="363" ht="14.25" customHeight="1" s="41"/>
    <row r="364" ht="14.25" customHeight="1" s="41"/>
    <row r="365" ht="14.25" customHeight="1" s="41"/>
    <row r="366" ht="14.25" customHeight="1" s="41"/>
    <row r="367" ht="14.25" customHeight="1" s="41"/>
    <row r="368" ht="14.25" customHeight="1" s="41"/>
    <row r="369" ht="14.25" customHeight="1" s="41"/>
    <row r="370" ht="14.25" customHeight="1" s="41"/>
    <row r="371" ht="14.25" customHeight="1" s="41"/>
    <row r="372" ht="14.25" customHeight="1" s="41"/>
    <row r="373" ht="14.25" customHeight="1" s="41"/>
    <row r="374" ht="14.25" customHeight="1" s="41"/>
    <row r="375" ht="14.25" customHeight="1" s="41"/>
    <row r="376" ht="14.25" customHeight="1" s="41"/>
    <row r="377" ht="14.25" customHeight="1" s="41"/>
    <row r="378" ht="14.25" customHeight="1" s="41"/>
    <row r="379" ht="14.25" customHeight="1" s="41"/>
    <row r="380" ht="14.25" customHeight="1" s="41"/>
    <row r="381" ht="14.25" customHeight="1" s="41"/>
    <row r="382" ht="14.25" customHeight="1" s="41"/>
    <row r="383" ht="14.25" customHeight="1" s="41"/>
    <row r="384" ht="14.25" customHeight="1" s="41"/>
    <row r="385" ht="14.25" customHeight="1" s="41"/>
    <row r="386" ht="14.25" customHeight="1" s="41"/>
    <row r="387" ht="14.25" customHeight="1" s="41"/>
    <row r="388" ht="14.25" customHeight="1" s="41"/>
    <row r="389" ht="14.25" customHeight="1" s="41"/>
    <row r="390" ht="14.25" customHeight="1" s="41"/>
    <row r="391" ht="14.25" customHeight="1" s="41"/>
    <row r="392" ht="14.25" customHeight="1" s="41"/>
    <row r="393" ht="14.25" customHeight="1" s="41"/>
    <row r="394" ht="14.25" customHeight="1" s="41"/>
    <row r="395" ht="14.25" customHeight="1" s="41"/>
    <row r="396" ht="14.25" customHeight="1" s="41"/>
    <row r="397" ht="14.25" customHeight="1" s="41"/>
    <row r="398" ht="14.25" customHeight="1" s="41"/>
    <row r="399" ht="14.25" customHeight="1" s="41"/>
    <row r="400" ht="14.25" customHeight="1" s="41"/>
    <row r="401" ht="14.25" customHeight="1" s="41"/>
    <row r="402" ht="14.25" customHeight="1" s="41"/>
    <row r="403" ht="14.25" customHeight="1" s="41"/>
    <row r="404" ht="14.25" customHeight="1" s="41"/>
    <row r="405" ht="14.25" customHeight="1" s="41"/>
    <row r="406" ht="14.25" customHeight="1" s="41"/>
    <row r="407" ht="14.25" customHeight="1" s="41"/>
    <row r="408" ht="14.25" customHeight="1" s="41"/>
    <row r="409" ht="14.25" customHeight="1" s="41"/>
    <row r="410" ht="14.25" customHeight="1" s="41"/>
    <row r="411" ht="14.25" customHeight="1" s="41"/>
    <row r="412" ht="14.25" customHeight="1" s="41"/>
    <row r="413" ht="14.25" customHeight="1" s="41"/>
    <row r="414" ht="14.25" customHeight="1" s="41"/>
    <row r="415" ht="14.25" customHeight="1" s="41"/>
    <row r="416" ht="14.25" customHeight="1" s="41"/>
    <row r="417" ht="14.25" customHeight="1" s="41"/>
    <row r="418" ht="14.25" customHeight="1" s="41"/>
    <row r="419" ht="14.25" customHeight="1" s="41"/>
    <row r="420" ht="14.25" customHeight="1" s="41"/>
    <row r="421" ht="14.25" customHeight="1" s="41"/>
    <row r="422" ht="14.25" customHeight="1" s="41"/>
    <row r="423" ht="14.25" customHeight="1" s="41"/>
    <row r="424" ht="14.25" customHeight="1" s="41"/>
    <row r="425" ht="14.25" customHeight="1" s="41"/>
    <row r="426" ht="14.25" customHeight="1" s="41"/>
    <row r="427" ht="14.25" customHeight="1" s="41"/>
    <row r="428" ht="14.25" customHeight="1" s="41"/>
    <row r="429" ht="14.25" customHeight="1" s="41"/>
    <row r="430" ht="14.25" customHeight="1" s="41"/>
    <row r="431" ht="14.25" customHeight="1" s="41"/>
    <row r="432" ht="14.25" customHeight="1" s="41"/>
    <row r="433" ht="14.25" customHeight="1" s="41"/>
    <row r="434" ht="14.25" customHeight="1" s="41"/>
    <row r="435" ht="14.25" customHeight="1" s="41"/>
    <row r="436" ht="14.25" customHeight="1" s="41"/>
    <row r="437" ht="14.25" customHeight="1" s="41"/>
    <row r="438" ht="14.25" customHeight="1" s="41"/>
    <row r="439" ht="14.25" customHeight="1" s="41"/>
    <row r="440" ht="14.25" customHeight="1" s="41"/>
    <row r="441" ht="14.25" customHeight="1" s="41"/>
    <row r="442" ht="14.25" customHeight="1" s="41"/>
    <row r="443" ht="14.25" customHeight="1" s="41"/>
    <row r="444" ht="14.25" customHeight="1" s="41"/>
    <row r="445" ht="14.25" customHeight="1" s="41"/>
    <row r="446" ht="14.25" customHeight="1" s="41"/>
    <row r="447" ht="14.25" customHeight="1" s="41"/>
    <row r="448" ht="14.25" customHeight="1" s="41"/>
    <row r="449" ht="14.25" customHeight="1" s="41"/>
    <row r="450" ht="14.25" customHeight="1" s="41"/>
    <row r="451" ht="14.25" customHeight="1" s="41"/>
    <row r="452" ht="14.25" customHeight="1" s="41"/>
    <row r="453" ht="14.25" customHeight="1" s="41"/>
    <row r="454" ht="14.25" customHeight="1" s="41"/>
    <row r="455" ht="14.25" customHeight="1" s="41"/>
    <row r="456" ht="14.25" customHeight="1" s="41"/>
    <row r="457" ht="14.25" customHeight="1" s="41"/>
    <row r="458" ht="14.25" customHeight="1" s="41"/>
    <row r="459" ht="14.25" customHeight="1" s="41"/>
    <row r="460" ht="14.25" customHeight="1" s="41"/>
    <row r="461" ht="14.25" customHeight="1" s="41"/>
    <row r="462" ht="14.25" customHeight="1" s="41"/>
    <row r="463" ht="14.25" customHeight="1" s="41"/>
    <row r="464" ht="14.25" customHeight="1" s="41"/>
    <row r="465" ht="14.25" customHeight="1" s="41"/>
    <row r="466" ht="14.25" customHeight="1" s="41"/>
    <row r="467" ht="14.25" customHeight="1" s="41"/>
    <row r="468" ht="14.25" customHeight="1" s="41"/>
    <row r="469" ht="14.25" customHeight="1" s="41"/>
    <row r="470" ht="14.25" customHeight="1" s="41"/>
    <row r="471" ht="14.25" customHeight="1" s="41"/>
    <row r="472" ht="14.25" customHeight="1" s="41"/>
    <row r="473" ht="14.25" customHeight="1" s="41"/>
    <row r="474" ht="14.25" customHeight="1" s="41"/>
    <row r="475" ht="14.25" customHeight="1" s="41"/>
    <row r="476" ht="14.25" customHeight="1" s="41"/>
    <row r="477" ht="14.25" customHeight="1" s="41"/>
    <row r="478" ht="14.25" customHeight="1" s="41"/>
    <row r="479" ht="14.25" customHeight="1" s="41"/>
    <row r="480" ht="14.25" customHeight="1" s="41"/>
    <row r="481" ht="14.25" customHeight="1" s="41"/>
    <row r="482" ht="14.25" customHeight="1" s="41"/>
    <row r="483" ht="14.25" customHeight="1" s="41"/>
    <row r="484" ht="14.25" customHeight="1" s="41"/>
    <row r="485" ht="14.25" customHeight="1" s="41"/>
    <row r="486" ht="14.25" customHeight="1" s="41"/>
    <row r="487" ht="14.25" customHeight="1" s="41"/>
    <row r="488" ht="14.25" customHeight="1" s="41"/>
    <row r="489" ht="14.25" customHeight="1" s="41"/>
    <row r="490" ht="14.25" customHeight="1" s="41"/>
    <row r="491" ht="14.25" customHeight="1" s="41"/>
    <row r="492" ht="14.25" customHeight="1" s="41"/>
    <row r="493" ht="14.25" customHeight="1" s="41"/>
    <row r="494" ht="14.25" customHeight="1" s="41"/>
    <row r="495" ht="14.25" customHeight="1" s="41"/>
    <row r="496" ht="14.25" customHeight="1" s="41"/>
    <row r="497" ht="14.25" customHeight="1" s="41"/>
    <row r="498" ht="14.25" customHeight="1" s="41"/>
    <row r="499" ht="14.25" customHeight="1" s="41"/>
    <row r="500" ht="14.25" customHeight="1" s="41"/>
    <row r="501" ht="14.25" customHeight="1" s="41"/>
    <row r="502" ht="14.25" customHeight="1" s="41"/>
    <row r="503" ht="14.25" customHeight="1" s="41"/>
    <row r="504" ht="14.25" customHeight="1" s="41"/>
    <row r="505" ht="14.25" customHeight="1" s="41"/>
    <row r="506" ht="14.25" customHeight="1" s="41"/>
    <row r="507" ht="14.25" customHeight="1" s="41"/>
    <row r="508" ht="14.25" customHeight="1" s="41"/>
    <row r="509" ht="14.25" customHeight="1" s="41"/>
    <row r="510" ht="14.25" customHeight="1" s="41"/>
    <row r="511" ht="14.25" customHeight="1" s="41"/>
    <row r="512" ht="14.25" customHeight="1" s="41"/>
    <row r="513" ht="14.25" customHeight="1" s="41"/>
    <row r="514" ht="14.25" customHeight="1" s="41"/>
    <row r="515" ht="14.25" customHeight="1" s="41"/>
    <row r="516" ht="14.25" customHeight="1" s="41"/>
    <row r="517" ht="14.25" customHeight="1" s="41"/>
    <row r="518" ht="14.25" customHeight="1" s="41"/>
    <row r="519" ht="14.25" customHeight="1" s="41"/>
    <row r="520" ht="14.25" customHeight="1" s="41"/>
    <row r="521" ht="14.25" customHeight="1" s="41"/>
    <row r="522" ht="14.25" customHeight="1" s="41"/>
    <row r="523" ht="14.25" customHeight="1" s="41"/>
    <row r="524" ht="14.25" customHeight="1" s="41"/>
    <row r="525" ht="14.25" customHeight="1" s="41"/>
    <row r="526" ht="14.25" customHeight="1" s="41"/>
    <row r="527" ht="14.25" customHeight="1" s="41"/>
    <row r="528" ht="14.25" customHeight="1" s="41"/>
    <row r="529" ht="14.25" customHeight="1" s="41"/>
    <row r="530" ht="14.25" customHeight="1" s="41"/>
    <row r="531" ht="14.25" customHeight="1" s="41"/>
    <row r="532" ht="14.25" customHeight="1" s="41"/>
    <row r="533" ht="14.25" customHeight="1" s="41"/>
    <row r="534" ht="14.25" customHeight="1" s="41"/>
    <row r="535" ht="14.25" customHeight="1" s="41"/>
    <row r="536" ht="14.25" customHeight="1" s="41"/>
    <row r="537" ht="14.25" customHeight="1" s="41"/>
    <row r="538" ht="14.25" customHeight="1" s="41"/>
    <row r="539" ht="14.25" customHeight="1" s="41"/>
    <row r="540" ht="14.25" customHeight="1" s="41"/>
    <row r="541" ht="14.25" customHeight="1" s="41"/>
    <row r="542" ht="14.25" customHeight="1" s="41"/>
    <row r="543" ht="14.25" customHeight="1" s="41"/>
    <row r="544" ht="14.25" customHeight="1" s="41"/>
    <row r="545" ht="14.25" customHeight="1" s="41"/>
    <row r="546" ht="14.25" customHeight="1" s="41"/>
    <row r="547" ht="14.25" customHeight="1" s="41"/>
    <row r="548" ht="14.25" customHeight="1" s="41"/>
    <row r="549" ht="14.25" customHeight="1" s="41"/>
    <row r="550" ht="14.25" customHeight="1" s="41"/>
    <row r="551" ht="14.25" customHeight="1" s="41"/>
    <row r="552" ht="14.25" customHeight="1" s="41"/>
    <row r="553" ht="14.25" customHeight="1" s="41"/>
    <row r="554" ht="14.25" customHeight="1" s="41"/>
    <row r="555" ht="14.25" customHeight="1" s="41"/>
    <row r="556" ht="14.25" customHeight="1" s="41"/>
    <row r="557" ht="14.25" customHeight="1" s="41"/>
    <row r="558" ht="14.25" customHeight="1" s="41"/>
    <row r="559" ht="14.25" customHeight="1" s="41"/>
    <row r="560" ht="14.25" customHeight="1" s="41"/>
    <row r="561" ht="14.25" customHeight="1" s="41"/>
    <row r="562" ht="14.25" customHeight="1" s="41"/>
    <row r="563" ht="14.25" customHeight="1" s="41"/>
    <row r="564" ht="14.25" customHeight="1" s="41"/>
    <row r="565" ht="14.25" customHeight="1" s="41"/>
    <row r="566" ht="14.25" customHeight="1" s="41"/>
    <row r="567" ht="14.25" customHeight="1" s="41"/>
    <row r="568" ht="14.25" customHeight="1" s="41"/>
    <row r="569" ht="14.25" customHeight="1" s="41"/>
    <row r="570" ht="14.25" customHeight="1" s="41"/>
    <row r="571" ht="14.25" customHeight="1" s="41"/>
    <row r="572" ht="14.25" customHeight="1" s="41"/>
    <row r="573" ht="14.25" customHeight="1" s="41"/>
    <row r="574" ht="14.25" customHeight="1" s="41"/>
    <row r="575" ht="14.25" customHeight="1" s="41"/>
    <row r="576" ht="14.25" customHeight="1" s="41"/>
    <row r="577" ht="14.25" customHeight="1" s="41"/>
    <row r="578" ht="14.25" customHeight="1" s="41"/>
    <row r="579" ht="14.25" customHeight="1" s="41"/>
    <row r="580" ht="14.25" customHeight="1" s="41"/>
    <row r="581" ht="14.25" customHeight="1" s="41"/>
    <row r="582" ht="14.25" customHeight="1" s="41"/>
    <row r="583" ht="14.25" customHeight="1" s="41"/>
    <row r="584" ht="14.25" customHeight="1" s="41"/>
    <row r="585" ht="14.25" customHeight="1" s="41"/>
    <row r="586" ht="14.25" customHeight="1" s="41"/>
    <row r="587" ht="14.25" customHeight="1" s="41"/>
    <row r="588" ht="14.25" customHeight="1" s="41"/>
    <row r="589" ht="14.25" customHeight="1" s="41"/>
    <row r="590" ht="14.25" customHeight="1" s="41"/>
    <row r="591" ht="14.25" customHeight="1" s="41"/>
    <row r="592" ht="14.25" customHeight="1" s="41"/>
    <row r="593" ht="14.25" customHeight="1" s="41"/>
    <row r="594" ht="14.25" customHeight="1" s="41"/>
    <row r="595" ht="14.25" customHeight="1" s="41"/>
    <row r="596" ht="14.25" customHeight="1" s="41"/>
    <row r="597" ht="14.25" customHeight="1" s="41"/>
    <row r="598" ht="14.25" customHeight="1" s="41"/>
    <row r="599" ht="14.25" customHeight="1" s="41"/>
    <row r="600" ht="14.25" customHeight="1" s="41"/>
    <row r="601" ht="14.25" customHeight="1" s="41"/>
    <row r="602" ht="14.25" customHeight="1" s="41"/>
    <row r="603" ht="14.25" customHeight="1" s="41"/>
    <row r="604" ht="14.25" customHeight="1" s="41"/>
    <row r="605" ht="14.25" customHeight="1" s="41"/>
    <row r="606" ht="14.25" customHeight="1" s="41"/>
    <row r="607" ht="14.25" customHeight="1" s="41"/>
    <row r="608" ht="14.25" customHeight="1" s="41"/>
    <row r="609" ht="14.25" customHeight="1" s="41"/>
    <row r="610" ht="14.25" customHeight="1" s="41"/>
    <row r="611" ht="14.25" customHeight="1" s="41"/>
    <row r="612" ht="14.25" customHeight="1" s="41"/>
    <row r="613" ht="14.25" customHeight="1" s="41"/>
    <row r="614" ht="14.25" customHeight="1" s="41"/>
    <row r="615" ht="14.25" customHeight="1" s="41"/>
    <row r="616" ht="14.25" customHeight="1" s="41"/>
    <row r="617" ht="14.25" customHeight="1" s="41"/>
    <row r="618" ht="14.25" customHeight="1" s="41"/>
    <row r="619" ht="14.25" customHeight="1" s="41"/>
    <row r="620" ht="14.25" customHeight="1" s="41"/>
    <row r="621" ht="14.25" customHeight="1" s="41"/>
    <row r="622" ht="14.25" customHeight="1" s="41"/>
    <row r="623" ht="14.25" customHeight="1" s="41"/>
    <row r="624" ht="14.25" customHeight="1" s="41"/>
    <row r="625" ht="14.25" customHeight="1" s="41"/>
    <row r="626" ht="14.25" customHeight="1" s="41"/>
    <row r="627" ht="14.25" customHeight="1" s="41"/>
    <row r="628" ht="14.25" customHeight="1" s="41"/>
    <row r="629" ht="14.25" customHeight="1" s="41"/>
    <row r="630" ht="14.25" customHeight="1" s="41"/>
    <row r="631" ht="14.25" customHeight="1" s="41"/>
    <row r="632" ht="14.25" customHeight="1" s="41"/>
    <row r="633" ht="14.25" customHeight="1" s="41"/>
    <row r="634" ht="14.25" customHeight="1" s="41"/>
    <row r="635" ht="14.25" customHeight="1" s="41"/>
    <row r="636" ht="14.25" customHeight="1" s="41"/>
    <row r="637" ht="14.25" customHeight="1" s="41"/>
    <row r="638" ht="14.25" customHeight="1" s="41"/>
    <row r="639" ht="14.25" customHeight="1" s="41"/>
    <row r="640" ht="14.25" customHeight="1" s="41"/>
    <row r="641" ht="14.25" customHeight="1" s="41"/>
    <row r="642" ht="14.25" customHeight="1" s="41"/>
    <row r="643" ht="14.25" customHeight="1" s="41"/>
    <row r="644" ht="14.25" customHeight="1" s="41"/>
    <row r="645" ht="14.25" customHeight="1" s="41"/>
    <row r="646" ht="14.25" customHeight="1" s="41"/>
    <row r="647" ht="14.25" customHeight="1" s="41"/>
    <row r="648" ht="14.25" customHeight="1" s="41"/>
    <row r="649" ht="14.25" customHeight="1" s="41"/>
    <row r="650" ht="14.25" customHeight="1" s="41"/>
    <row r="651" ht="14.25" customHeight="1" s="41"/>
    <row r="652" ht="14.25" customHeight="1" s="41"/>
    <row r="653" ht="14.25" customHeight="1" s="41"/>
    <row r="654" ht="14.25" customHeight="1" s="41"/>
    <row r="655" ht="14.25" customHeight="1" s="41"/>
    <row r="656" ht="14.25" customHeight="1" s="41"/>
    <row r="657" ht="14.25" customHeight="1" s="41"/>
    <row r="658" ht="14.25" customHeight="1" s="41"/>
    <row r="659" ht="14.25" customHeight="1" s="41"/>
    <row r="660" ht="14.25" customHeight="1" s="41"/>
    <row r="661" ht="14.25" customHeight="1" s="41"/>
    <row r="662" ht="14.25" customHeight="1" s="41"/>
    <row r="663" ht="14.25" customHeight="1" s="41"/>
    <row r="664" ht="14.25" customHeight="1" s="41"/>
    <row r="665" ht="14.25" customHeight="1" s="41"/>
    <row r="666" ht="14.25" customHeight="1" s="41"/>
    <row r="667" ht="14.25" customHeight="1" s="41"/>
    <row r="668" ht="14.25" customHeight="1" s="41"/>
    <row r="669" ht="14.25" customHeight="1" s="41"/>
    <row r="670" ht="14.25" customHeight="1" s="41"/>
    <row r="671" ht="14.25" customHeight="1" s="41"/>
    <row r="672" ht="14.25" customHeight="1" s="41"/>
    <row r="673" ht="14.25" customHeight="1" s="41"/>
    <row r="674" ht="14.25" customHeight="1" s="41"/>
    <row r="675" ht="14.25" customHeight="1" s="41"/>
    <row r="676" ht="14.25" customHeight="1" s="41"/>
    <row r="677" ht="14.25" customHeight="1" s="41"/>
    <row r="678" ht="14.25" customHeight="1" s="41"/>
    <row r="679" ht="14.25" customHeight="1" s="41"/>
    <row r="680" ht="14.25" customHeight="1" s="41"/>
    <row r="681" ht="14.25" customHeight="1" s="41"/>
    <row r="682" ht="14.25" customHeight="1" s="41"/>
    <row r="683" ht="14.25" customHeight="1" s="41"/>
    <row r="684" ht="14.25" customHeight="1" s="41"/>
    <row r="685" ht="14.25" customHeight="1" s="41"/>
    <row r="686" ht="14.25" customHeight="1" s="41"/>
    <row r="687" ht="14.25" customHeight="1" s="41"/>
    <row r="688" ht="14.25" customHeight="1" s="41"/>
    <row r="689" ht="14.25" customHeight="1" s="41"/>
    <row r="690" ht="14.25" customHeight="1" s="41"/>
    <row r="691" ht="14.25" customHeight="1" s="41"/>
    <row r="692" ht="14.25" customHeight="1" s="41"/>
    <row r="693" ht="14.25" customHeight="1" s="41"/>
    <row r="694" ht="14.25" customHeight="1" s="41"/>
    <row r="695" ht="14.25" customHeight="1" s="41"/>
    <row r="696" ht="14.25" customHeight="1" s="41"/>
    <row r="697" ht="14.25" customHeight="1" s="41"/>
    <row r="698" ht="14.25" customHeight="1" s="41"/>
    <row r="699" ht="14.25" customHeight="1" s="41"/>
    <row r="700" ht="14.25" customHeight="1" s="41"/>
    <row r="701" ht="14.25" customHeight="1" s="41"/>
    <row r="702" ht="14.25" customHeight="1" s="41"/>
    <row r="703" ht="14.25" customHeight="1" s="41"/>
    <row r="704" ht="14.25" customHeight="1" s="41"/>
    <row r="705" ht="14.25" customHeight="1" s="41"/>
    <row r="706" ht="14.25" customHeight="1" s="41"/>
    <row r="707" ht="14.25" customHeight="1" s="41"/>
    <row r="708" ht="14.25" customHeight="1" s="41"/>
    <row r="709" ht="14.25" customHeight="1" s="41"/>
    <row r="710" ht="14.25" customHeight="1" s="41"/>
    <row r="711" ht="14.25" customHeight="1" s="41"/>
    <row r="712" ht="14.25" customHeight="1" s="41"/>
    <row r="713" ht="14.25" customHeight="1" s="41"/>
    <row r="714" ht="14.25" customHeight="1" s="41"/>
    <row r="715" ht="14.25" customHeight="1" s="41"/>
    <row r="716" ht="14.25" customHeight="1" s="41"/>
    <row r="717" ht="14.25" customHeight="1" s="41"/>
    <row r="718" ht="14.25" customHeight="1" s="41"/>
    <row r="719" ht="14.25" customHeight="1" s="41"/>
    <row r="720" ht="14.25" customHeight="1" s="41"/>
    <row r="721" ht="14.25" customHeight="1" s="41"/>
    <row r="722" ht="14.25" customHeight="1" s="41"/>
    <row r="723" ht="14.25" customHeight="1" s="41"/>
    <row r="724" ht="14.25" customHeight="1" s="41"/>
    <row r="725" ht="14.25" customHeight="1" s="41"/>
    <row r="726" ht="14.25" customHeight="1" s="41"/>
    <row r="727" ht="14.25" customHeight="1" s="41"/>
    <row r="728" ht="14.25" customHeight="1" s="41"/>
    <row r="729" ht="14.25" customHeight="1" s="41"/>
    <row r="730" ht="14.25" customHeight="1" s="41"/>
    <row r="731" ht="14.25" customHeight="1" s="41"/>
    <row r="732" ht="14.25" customHeight="1" s="41"/>
    <row r="733" ht="14.25" customHeight="1" s="41"/>
    <row r="734" ht="14.25" customHeight="1" s="41"/>
    <row r="735" ht="14.25" customHeight="1" s="41"/>
    <row r="736" ht="14.25" customHeight="1" s="41"/>
    <row r="737" ht="14.25" customHeight="1" s="41"/>
    <row r="738" ht="14.25" customHeight="1" s="41"/>
    <row r="739" ht="14.25" customHeight="1" s="41"/>
    <row r="740" ht="14.25" customHeight="1" s="41"/>
    <row r="741" ht="14.25" customHeight="1" s="41"/>
    <row r="742" ht="14.25" customHeight="1" s="41"/>
    <row r="743" ht="14.25" customHeight="1" s="41"/>
    <row r="744" ht="14.25" customHeight="1" s="41"/>
    <row r="745" ht="14.25" customHeight="1" s="41"/>
    <row r="746" ht="14.25" customHeight="1" s="41"/>
    <row r="747" ht="14.25" customHeight="1" s="41"/>
    <row r="748" ht="14.25" customHeight="1" s="41"/>
    <row r="749" ht="14.25" customHeight="1" s="41"/>
    <row r="750" ht="14.25" customHeight="1" s="41"/>
    <row r="751" ht="14.25" customHeight="1" s="41"/>
    <row r="752" ht="14.25" customHeight="1" s="41"/>
    <row r="753" ht="14.25" customHeight="1" s="41"/>
    <row r="754" ht="14.25" customHeight="1" s="41"/>
    <row r="755" ht="14.25" customHeight="1" s="41"/>
    <row r="756" ht="14.25" customHeight="1" s="41"/>
    <row r="757" ht="14.25" customHeight="1" s="41"/>
    <row r="758" ht="14.25" customHeight="1" s="41"/>
    <row r="759" ht="14.25" customHeight="1" s="41"/>
    <row r="760" ht="14.25" customHeight="1" s="41"/>
    <row r="761" ht="14.25" customHeight="1" s="41"/>
    <row r="762" ht="14.25" customHeight="1" s="41"/>
    <row r="763" ht="14.25" customHeight="1" s="41"/>
    <row r="764" ht="14.25" customHeight="1" s="41"/>
    <row r="765" ht="14.25" customHeight="1" s="41"/>
    <row r="766" ht="14.25" customHeight="1" s="41"/>
    <row r="767" ht="14.25" customHeight="1" s="41"/>
    <row r="768" ht="14.25" customHeight="1" s="41"/>
    <row r="769" ht="14.25" customHeight="1" s="41"/>
    <row r="770" ht="14.25" customHeight="1" s="41"/>
    <row r="771" ht="14.25" customHeight="1" s="41"/>
    <row r="772" ht="14.25" customHeight="1" s="41"/>
    <row r="773" ht="14.25" customHeight="1" s="41"/>
    <row r="774" ht="14.25" customHeight="1" s="41"/>
    <row r="775" ht="14.25" customHeight="1" s="41"/>
    <row r="776" ht="14.25" customHeight="1" s="41"/>
    <row r="777" ht="14.25" customHeight="1" s="41"/>
    <row r="778" ht="14.25" customHeight="1" s="41"/>
    <row r="779" ht="14.25" customHeight="1" s="41"/>
    <row r="780" ht="14.25" customHeight="1" s="41"/>
    <row r="781" ht="14.25" customHeight="1" s="41"/>
    <row r="782" ht="14.25" customHeight="1" s="41"/>
    <row r="783" ht="14.25" customHeight="1" s="41"/>
    <row r="784" ht="14.25" customHeight="1" s="41"/>
    <row r="785" ht="14.25" customHeight="1" s="41"/>
    <row r="786" ht="14.25" customHeight="1" s="41"/>
    <row r="787" ht="14.25" customHeight="1" s="41"/>
    <row r="788" ht="14.25" customHeight="1" s="41"/>
    <row r="789" ht="14.25" customHeight="1" s="41"/>
    <row r="790" ht="14.25" customHeight="1" s="41"/>
    <row r="791" ht="14.25" customHeight="1" s="41"/>
    <row r="792" ht="14.25" customHeight="1" s="41"/>
    <row r="793" ht="14.25" customHeight="1" s="41"/>
    <row r="794" ht="14.25" customHeight="1" s="41"/>
    <row r="795" ht="14.25" customHeight="1" s="41"/>
    <row r="796" ht="14.25" customHeight="1" s="41"/>
    <row r="797" ht="14.25" customHeight="1" s="41"/>
    <row r="798" ht="14.25" customHeight="1" s="41"/>
    <row r="799" ht="14.25" customHeight="1" s="41"/>
    <row r="800" ht="14.25" customHeight="1" s="41"/>
    <row r="801" ht="14.25" customHeight="1" s="41"/>
    <row r="802" ht="14.25" customHeight="1" s="41"/>
    <row r="803" ht="14.25" customHeight="1" s="41"/>
    <row r="804" ht="14.25" customHeight="1" s="41"/>
    <row r="805" ht="14.25" customHeight="1" s="41"/>
    <row r="806" ht="14.25" customHeight="1" s="41"/>
    <row r="807" ht="14.25" customHeight="1" s="41"/>
    <row r="808" ht="14.25" customHeight="1" s="41"/>
    <row r="809" ht="14.25" customHeight="1" s="41"/>
    <row r="810" ht="14.25" customHeight="1" s="41"/>
    <row r="811" ht="14.25" customHeight="1" s="41"/>
    <row r="812" ht="14.25" customHeight="1" s="41"/>
    <row r="813" ht="14.25" customHeight="1" s="41"/>
    <row r="814" ht="14.25" customHeight="1" s="41"/>
    <row r="815" ht="14.25" customHeight="1" s="41"/>
    <row r="816" ht="14.25" customHeight="1" s="41"/>
    <row r="817" ht="14.25" customHeight="1" s="41"/>
    <row r="818" ht="14.25" customHeight="1" s="41"/>
    <row r="819" ht="14.25" customHeight="1" s="41"/>
    <row r="820" ht="14.25" customHeight="1" s="41"/>
    <row r="821" ht="14.25" customHeight="1" s="41"/>
    <row r="822" ht="14.25" customHeight="1" s="41"/>
    <row r="823" ht="14.25" customHeight="1" s="41"/>
    <row r="824" ht="14.25" customHeight="1" s="41"/>
    <row r="825" ht="14.25" customHeight="1" s="41"/>
    <row r="826" ht="14.25" customHeight="1" s="41"/>
    <row r="827" ht="14.25" customHeight="1" s="41"/>
    <row r="828" ht="14.25" customHeight="1" s="41"/>
    <row r="829" ht="14.25" customHeight="1" s="41"/>
    <row r="830" ht="14.25" customHeight="1" s="41"/>
    <row r="831" ht="14.25" customHeight="1" s="41"/>
    <row r="832" ht="14.25" customHeight="1" s="41"/>
    <row r="833" ht="14.25" customHeight="1" s="41"/>
    <row r="834" ht="14.25" customHeight="1" s="41"/>
    <row r="835" ht="14.25" customHeight="1" s="41"/>
    <row r="836" ht="14.25" customHeight="1" s="41"/>
    <row r="837" ht="14.25" customHeight="1" s="41"/>
    <row r="838" ht="14.25" customHeight="1" s="41"/>
    <row r="839" ht="14.25" customHeight="1" s="41"/>
    <row r="840" ht="14.25" customHeight="1" s="41"/>
    <row r="841" ht="14.25" customHeight="1" s="41"/>
    <row r="842" ht="14.25" customHeight="1" s="41"/>
    <row r="843" ht="14.25" customHeight="1" s="41"/>
    <row r="844" ht="14.25" customHeight="1" s="41"/>
    <row r="845" ht="14.25" customHeight="1" s="41"/>
    <row r="846" ht="14.25" customHeight="1" s="41"/>
    <row r="847" ht="14.25" customHeight="1" s="41"/>
    <row r="848" ht="14.25" customHeight="1" s="41"/>
    <row r="849" ht="14.25" customHeight="1" s="41"/>
    <row r="850" ht="14.25" customHeight="1" s="41"/>
    <row r="851" ht="14.25" customHeight="1" s="41"/>
    <row r="852" ht="14.25" customHeight="1" s="41"/>
    <row r="853" ht="14.25" customHeight="1" s="41"/>
    <row r="854" ht="14.25" customHeight="1" s="41"/>
    <row r="855" ht="14.25" customHeight="1" s="41"/>
    <row r="856" ht="14.25" customHeight="1" s="41"/>
    <row r="857" ht="14.25" customHeight="1" s="41"/>
    <row r="858" ht="14.25" customHeight="1" s="41"/>
    <row r="859" ht="14.25" customHeight="1" s="41"/>
    <row r="860" ht="14.25" customHeight="1" s="41"/>
    <row r="861" ht="14.25" customHeight="1" s="41"/>
    <row r="862" ht="14.25" customHeight="1" s="41"/>
    <row r="863" ht="14.25" customHeight="1" s="41"/>
    <row r="864" ht="14.25" customHeight="1" s="41"/>
    <row r="865" ht="14.25" customHeight="1" s="41"/>
    <row r="866" ht="14.25" customHeight="1" s="41"/>
    <row r="867" ht="14.25" customHeight="1" s="41"/>
    <row r="868" ht="14.25" customHeight="1" s="41"/>
    <row r="869" ht="14.25" customHeight="1" s="41"/>
    <row r="870" ht="14.25" customHeight="1" s="41"/>
    <row r="871" ht="14.25" customHeight="1" s="41"/>
    <row r="872" ht="14.25" customHeight="1" s="41"/>
    <row r="873" ht="14.25" customHeight="1" s="41"/>
    <row r="874" ht="14.25" customHeight="1" s="41"/>
    <row r="875" ht="14.25" customHeight="1" s="41"/>
    <row r="876" ht="14.25" customHeight="1" s="41"/>
    <row r="877" ht="14.25" customHeight="1" s="41"/>
    <row r="878" ht="14.25" customHeight="1" s="41"/>
    <row r="879" ht="14.25" customHeight="1" s="41"/>
    <row r="880" ht="14.25" customHeight="1" s="41"/>
    <row r="881" ht="14.25" customHeight="1" s="41"/>
    <row r="882" ht="14.25" customHeight="1" s="41"/>
    <row r="883" ht="14.25" customHeight="1" s="41"/>
    <row r="884" ht="14.25" customHeight="1" s="41"/>
    <row r="885" ht="14.25" customHeight="1" s="41"/>
    <row r="886" ht="14.25" customHeight="1" s="41"/>
    <row r="887" ht="14.25" customHeight="1" s="41"/>
    <row r="888" ht="14.25" customHeight="1" s="41"/>
    <row r="889" ht="14.25" customHeight="1" s="41"/>
    <row r="890" ht="14.25" customHeight="1" s="41"/>
    <row r="891" ht="14.25" customHeight="1" s="41"/>
    <row r="892" ht="14.25" customHeight="1" s="41"/>
    <row r="893" ht="14.25" customHeight="1" s="41"/>
    <row r="894" ht="14.25" customHeight="1" s="41"/>
    <row r="895" ht="14.25" customHeight="1" s="41"/>
    <row r="896" ht="14.25" customHeight="1" s="41"/>
    <row r="897" ht="14.25" customHeight="1" s="41"/>
    <row r="898" ht="14.25" customHeight="1" s="41"/>
    <row r="899" ht="14.25" customHeight="1" s="41"/>
    <row r="900" ht="14.25" customHeight="1" s="41"/>
    <row r="901" ht="14.25" customHeight="1" s="41"/>
    <row r="902" ht="14.25" customHeight="1" s="41"/>
    <row r="903" ht="14.25" customHeight="1" s="41"/>
    <row r="904" ht="14.25" customHeight="1" s="41"/>
    <row r="905" ht="14.25" customHeight="1" s="41"/>
    <row r="906" ht="14.25" customHeight="1" s="41"/>
    <row r="907" ht="14.25" customHeight="1" s="41"/>
    <row r="908" ht="14.25" customHeight="1" s="41"/>
    <row r="909" ht="14.25" customHeight="1" s="41"/>
    <row r="910" ht="14.25" customHeight="1" s="41"/>
    <row r="911" ht="14.25" customHeight="1" s="41"/>
    <row r="912" ht="14.25" customHeight="1" s="41"/>
    <row r="913" ht="14.25" customHeight="1" s="41"/>
    <row r="914" ht="14.25" customHeight="1" s="41"/>
    <row r="915" ht="14.25" customHeight="1" s="41"/>
    <row r="916" ht="14.25" customHeight="1" s="41"/>
    <row r="917" ht="14.25" customHeight="1" s="41"/>
    <row r="918" ht="14.25" customHeight="1" s="41"/>
    <row r="919" ht="14.25" customHeight="1" s="41"/>
    <row r="920" ht="14.25" customHeight="1" s="41"/>
    <row r="921" ht="14.25" customHeight="1" s="41"/>
    <row r="922" ht="14.25" customHeight="1" s="41"/>
    <row r="923" ht="14.25" customHeight="1" s="41"/>
    <row r="924" ht="14.25" customHeight="1" s="41"/>
    <row r="925" ht="14.25" customHeight="1" s="41"/>
    <row r="926" ht="14.25" customHeight="1" s="41"/>
    <row r="927" ht="14.25" customHeight="1" s="41"/>
    <row r="928" ht="14.25" customHeight="1" s="41"/>
    <row r="929" ht="14.25" customHeight="1" s="41"/>
    <row r="930" ht="14.25" customHeight="1" s="41"/>
    <row r="931" ht="14.25" customHeight="1" s="41"/>
    <row r="932" ht="14.25" customHeight="1" s="41"/>
    <row r="933" ht="14.25" customHeight="1" s="41"/>
    <row r="934" ht="14.25" customHeight="1" s="41"/>
    <row r="935" ht="14.25" customHeight="1" s="41"/>
    <row r="936" ht="14.25" customHeight="1" s="41"/>
    <row r="937" ht="14.25" customHeight="1" s="41"/>
    <row r="938" ht="14.25" customHeight="1" s="41"/>
    <row r="939" ht="14.25" customHeight="1" s="41"/>
    <row r="940" ht="14.25" customHeight="1" s="41"/>
    <row r="941" ht="14.25" customHeight="1" s="41"/>
    <row r="942" ht="14.25" customHeight="1" s="41"/>
    <row r="943" ht="14.25" customHeight="1" s="41"/>
    <row r="944" ht="14.25" customHeight="1" s="41"/>
    <row r="945" ht="14.25" customHeight="1" s="41"/>
    <row r="946" ht="14.25" customHeight="1" s="41"/>
    <row r="947" ht="14.25" customHeight="1" s="41"/>
    <row r="948" ht="14.25" customHeight="1" s="41"/>
    <row r="949" ht="14.25" customHeight="1" s="41"/>
    <row r="950" ht="14.25" customHeight="1" s="41"/>
    <row r="951" ht="14.25" customHeight="1" s="41"/>
    <row r="952" ht="14.25" customHeight="1" s="41"/>
    <row r="953" ht="14.25" customHeight="1" s="41"/>
    <row r="954" ht="14.25" customHeight="1" s="41"/>
    <row r="955" ht="14.25" customHeight="1" s="41"/>
    <row r="956" ht="14.25" customHeight="1" s="41"/>
    <row r="957" ht="14.25" customHeight="1" s="41"/>
    <row r="958" ht="14.25" customHeight="1" s="41"/>
    <row r="959" ht="14.25" customHeight="1" s="41"/>
    <row r="960" ht="14.25" customHeight="1" s="41"/>
    <row r="961" ht="14.25" customHeight="1" s="41"/>
    <row r="962" ht="14.25" customHeight="1" s="41"/>
    <row r="963" ht="14.25" customHeight="1" s="41"/>
    <row r="964" ht="14.25" customHeight="1" s="41"/>
    <row r="965" ht="14.25" customHeight="1" s="41"/>
    <row r="966" ht="14.25" customHeight="1" s="41"/>
    <row r="967" ht="14.25" customHeight="1" s="41"/>
    <row r="968" ht="14.25" customHeight="1" s="41"/>
    <row r="969" ht="14.25" customHeight="1" s="41"/>
    <row r="970" ht="14.25" customHeight="1" s="41"/>
    <row r="971" ht="14.25" customHeight="1" s="41"/>
    <row r="972" ht="14.25" customHeight="1" s="41"/>
    <row r="973" ht="14.25" customHeight="1" s="41"/>
    <row r="974" ht="14.25" customHeight="1" s="41"/>
    <row r="975" ht="14.25" customHeight="1" s="41"/>
    <row r="976" ht="14.25" customHeight="1" s="41"/>
    <row r="977" ht="14.25" customHeight="1" s="41"/>
    <row r="978" ht="14.25" customHeight="1" s="41"/>
    <row r="979" ht="14.25" customHeight="1" s="41"/>
    <row r="980" ht="14.25" customHeight="1" s="41"/>
    <row r="981" ht="14.25" customHeight="1" s="41"/>
    <row r="982" ht="14.25" customHeight="1" s="41"/>
    <row r="983" ht="14.25" customHeight="1" s="41"/>
    <row r="984" ht="14.25" customHeight="1" s="41"/>
    <row r="985" ht="14.25" customHeight="1" s="41"/>
    <row r="986" ht="14.25" customHeight="1" s="41"/>
    <row r="987" ht="14.25" customHeight="1" s="41"/>
    <row r="988" ht="14.25" customHeight="1" s="41"/>
    <row r="989" ht="14.25" customHeight="1" s="41"/>
    <row r="990" ht="14.25" customHeight="1" s="41"/>
    <row r="991" ht="14.25" customHeight="1" s="41"/>
    <row r="992" ht="14.25" customHeight="1" s="41"/>
    <row r="993" ht="14.25" customHeight="1" s="41"/>
    <row r="994" ht="14.25" customHeight="1" s="41"/>
    <row r="995" ht="14.25" customHeight="1" s="41"/>
    <row r="996" ht="14.25" customHeight="1" s="41"/>
    <row r="997" ht="14.25" customHeight="1" s="41"/>
    <row r="998" ht="14.25" customHeight="1" s="41"/>
    <row r="999" ht="14.25" customHeight="1" s="41"/>
    <row r="1000" ht="14.25" customHeight="1" s="41"/>
  </sheetData>
  <mergeCells count="7">
    <mergeCell ref="A1:K1"/>
    <mergeCell ref="A3:A4"/>
    <mergeCell ref="B3:B4"/>
    <mergeCell ref="C3:C4"/>
    <mergeCell ref="D3:G3"/>
    <mergeCell ref="H3:K3"/>
    <mergeCell ref="A21:K21"/>
  </mergeCell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2026-07-08T13:49:33Z</dcterms:created>
  <dcterms:modified xmlns:dcterms="http://purl.org/dc/terms/" xmlns:xsi="http://www.w3.org/2001/XMLSchema-instance" xsi:type="dcterms:W3CDTF">2026-07-18T13:15:43Z</dcterms:modified>
</cp:coreProperties>
</file>