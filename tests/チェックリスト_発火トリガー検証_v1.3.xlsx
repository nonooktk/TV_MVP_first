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はじめに" sheetId="1" state="visible" r:id="rId1"/>
    <sheet xmlns:r="http://schemas.openxmlformats.org/officeDocument/2006/relationships" name="②準備チェック" sheetId="2" state="visible" r:id="rId2"/>
    <sheet xmlns:r="http://schemas.openxmlformats.org/officeDocument/2006/relationships" name="③実施記録" sheetId="3" state="visible" r:id="rId3"/>
    <sheet xmlns:r="http://schemas.openxmlformats.org/officeDocument/2006/relationships" name="④回収ファイル一覧" sheetId="4" state="visible" r:id="rId4"/>
    <sheet xmlns:r="http://schemas.openxmlformats.org/officeDocument/2006/relationships" name="⑤サマリー" sheetId="5" state="visible" r:id="rId5"/>
  </sheets>
  <definedNames>
    <definedName name="_xlnm.Print_Area" localSheetId="0">'①はじめに'!$A$1:$H$27</definedName>
    <definedName name="_xlnm.Print_Area" localSheetId="1">'②準備チェック'!$A$1:$D$13</definedName>
    <definedName name="_xlnm.Print_Area" localSheetId="2">'③実施記録'!$A$1:$I$49</definedName>
    <definedName name="_xlnm.Print_Area" localSheetId="3">'④回収ファイル一覧'!$A$1:$G$11</definedName>
    <definedName name="_xlnm.Print_Area" localSheetId="4">'⑤サマリー'!$A$1:$G$21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&quot;月&quot;d&quot;日&quot;"/>
  </numFmts>
  <fonts count="7">
    <font>
      <name val="Calibri"/>
      <family val="2"/>
      <color theme="1"/>
      <sz val="11"/>
      <scheme val="minor"/>
    </font>
    <font>
      <name val="Yu Gothic"/>
      <b val="1"/>
      <sz val="16"/>
    </font>
    <font>
      <name val="Yu Gothic"/>
      <sz val="11"/>
    </font>
    <font>
      <name val="Yu Gothic"/>
      <b val="1"/>
      <sz val="12"/>
    </font>
    <font>
      <name val="Yu Gothic"/>
      <i val="1"/>
      <color rgb="FF555555"/>
      <sz val="10"/>
    </font>
    <font>
      <name val="Yu Gothic"/>
      <b val="1"/>
      <sz val="11"/>
    </font>
    <font>
      <name val="Yu Gothic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2F5B7C"/>
      </patternFill>
    </fill>
    <fill>
      <patternFill patternType="solid">
        <fgColor rgb="FFD9D9D9"/>
      </patternFill>
    </fill>
    <fill>
      <patternFill patternType="solid">
        <fgColor rgb="FFDCE6F1"/>
      </patternFill>
    </fill>
    <fill>
      <patternFill patternType="solid">
        <fgColor rgb="FFFDE9D9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wrapText="1"/>
    </xf>
    <xf numFmtId="0" fontId="2" fillId="4" borderId="0" pivotButton="0" quotePrefix="0" xfId="0"/>
    <xf numFmtId="164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2" fillId="5" borderId="0" pivotButton="0" quotePrefix="0" xfId="0"/>
    <xf numFmtId="164" fontId="2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 wrapText="1"/>
    </xf>
    <xf numFmtId="0" fontId="5" fillId="6" borderId="0" pivotButton="0" quotePrefix="0" xfId="0"/>
    <xf numFmtId="164" fontId="2" fillId="6" borderId="0" applyAlignment="1" pivotButton="0" quotePrefix="0" xfId="0">
      <alignment horizontal="center" vertical="center"/>
    </xf>
    <xf numFmtId="0" fontId="2" fillId="6" borderId="0" pivotButton="0" quotePrefix="0" xfId="0"/>
    <xf numFmtId="0" fontId="0" fillId="6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 wrapText="1"/>
    </xf>
    <xf numFmtId="0" fontId="0" fillId="2" borderId="0" pivotButton="0" quotePrefix="0" xfId="0"/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.57" customWidth="1" min="1" max="1"/>
    <col width="20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 ht="24" customHeight="1">
      <c r="B2" s="1" t="inlineStr">
        <is>
          <t>チェックリスト — 「思い出カメラ」反応テスト（Round 2）</t>
        </is>
      </c>
    </row>
    <row r="4" ht="30" customHeight="1">
      <c r="B4" s="2" t="inlineStr">
        <is>
          <t>・このファイルは Round 2 の記録用です。オペレーターが記入します（Round 1 の記録は v1.2 ファイルのままです）。</t>
        </is>
      </c>
    </row>
    <row r="5" ht="30" customHeight="1">
      <c r="B5" s="2" t="inlineStr">
        <is>
          <t>・記入するのはシート②〜④だけ。⑤は自動集計なので見るだけです。</t>
        </is>
      </c>
    </row>
    <row r="6" ht="30" customHeight="1">
      <c r="B6" s="2" t="inlineStr">
        <is>
          <t>・名前は書かず「テスターA/B/C」で統一します（誰がどれかはオペレーターの手元メモで管理し、このファイルには書きません）。</t>
        </is>
      </c>
    </row>
    <row r="8">
      <c r="B8" s="3" t="inlineStr">
        <is>
          <t>組み合わせ（ペアリング）表（再掲）</t>
        </is>
      </c>
    </row>
    <row r="9">
      <c r="B9" s="4" t="inlineStr">
        <is>
          <t>Day2: 高齢者役＝テスターA／家族役＝テスターB</t>
        </is>
      </c>
    </row>
    <row r="10">
      <c r="B10" s="4" t="inlineStr">
        <is>
          <t>Day3: 高齢者役＝テスターB／家族役＝テスターC</t>
        </is>
      </c>
    </row>
    <row r="11">
      <c r="B11" s="4" t="inlineStr">
        <is>
          <t>Day4: 高齢者役＝テスターC／家族役＝テスターA</t>
        </is>
      </c>
    </row>
    <row r="13">
      <c r="B13" s="3" t="inlineStr">
        <is>
          <t>テスター基本情報（記入欄）</t>
        </is>
      </c>
    </row>
    <row r="14" ht="20" customHeight="1">
      <c r="B14" s="5" t="inlineStr">
        <is>
          <t>※ 誰がテスターA/B/Cかはオペレーターの手元メモで管理してください（本ファイルには書きません）。</t>
        </is>
      </c>
    </row>
    <row r="16">
      <c r="B16" s="6" t="inlineStr">
        <is>
          <t>テスターA</t>
        </is>
      </c>
    </row>
    <row r="17">
      <c r="B17" s="7" t="inlineStr">
        <is>
          <t>使用環境（場所・部屋の状況）</t>
        </is>
      </c>
      <c r="D17" s="8" t="n"/>
      <c r="E17" s="8" t="n"/>
      <c r="F17" s="8" t="n"/>
      <c r="G17" s="8" t="n"/>
      <c r="H17" s="8" t="n"/>
    </row>
    <row r="18">
      <c r="B18" s="7" t="inlineStr">
        <is>
          <t>マイク／イヤホンの機種</t>
        </is>
      </c>
      <c r="D18" s="8" t="n"/>
      <c r="E18" s="8" t="n"/>
      <c r="F18" s="8" t="n"/>
      <c r="G18" s="8" t="n"/>
      <c r="H18" s="8" t="n"/>
    </row>
    <row r="20">
      <c r="B20" s="6" t="inlineStr">
        <is>
          <t>テスターB</t>
        </is>
      </c>
    </row>
    <row r="21">
      <c r="B21" s="7" t="inlineStr">
        <is>
          <t>使用環境（場所・部屋の状況）</t>
        </is>
      </c>
      <c r="D21" s="8" t="n"/>
      <c r="E21" s="8" t="n"/>
      <c r="F21" s="8" t="n"/>
      <c r="G21" s="8" t="n"/>
      <c r="H21" s="8" t="n"/>
    </row>
    <row r="22">
      <c r="B22" s="7" t="inlineStr">
        <is>
          <t>マイク／イヤホンの機種</t>
        </is>
      </c>
      <c r="D22" s="8" t="n"/>
      <c r="E22" s="8" t="n"/>
      <c r="F22" s="8" t="n"/>
      <c r="G22" s="8" t="n"/>
      <c r="H22" s="8" t="n"/>
    </row>
    <row r="24">
      <c r="B24" s="6" t="inlineStr">
        <is>
          <t>テスターC</t>
        </is>
      </c>
    </row>
    <row r="25">
      <c r="B25" s="7" t="inlineStr">
        <is>
          <t>使用環境（場所・部屋の状況）</t>
        </is>
      </c>
      <c r="D25" s="8" t="n"/>
      <c r="E25" s="8" t="n"/>
      <c r="F25" s="8" t="n"/>
      <c r="G25" s="8" t="n"/>
      <c r="H25" s="8" t="n"/>
    </row>
    <row r="26">
      <c r="B26" s="7" t="inlineStr">
        <is>
          <t>マイク／イヤホンの機種</t>
        </is>
      </c>
      <c r="D26" s="8" t="n"/>
      <c r="E26" s="8" t="n"/>
      <c r="F26" s="8" t="n"/>
      <c r="G26" s="8" t="n"/>
      <c r="H26" s="8" t="n"/>
    </row>
  </sheetData>
  <mergeCells count="25">
    <mergeCell ref="B2:H2"/>
    <mergeCell ref="B4:H4"/>
    <mergeCell ref="B5:H5"/>
    <mergeCell ref="B6:H6"/>
    <mergeCell ref="B8:H8"/>
    <mergeCell ref="B9:H9"/>
    <mergeCell ref="B10:H10"/>
    <mergeCell ref="B11:H11"/>
    <mergeCell ref="B13:H13"/>
    <mergeCell ref="B14:H14"/>
    <mergeCell ref="B16:H16"/>
    <mergeCell ref="B17:C17"/>
    <mergeCell ref="D17:H17"/>
    <mergeCell ref="B18:C18"/>
    <mergeCell ref="D18:H18"/>
    <mergeCell ref="B20:H20"/>
    <mergeCell ref="B21:C21"/>
    <mergeCell ref="D21:H21"/>
    <mergeCell ref="B22:C22"/>
    <mergeCell ref="D22:H22"/>
    <mergeCell ref="B24:H24"/>
    <mergeCell ref="B25:C25"/>
    <mergeCell ref="D25:H25"/>
    <mergeCell ref="B26:C26"/>
    <mergeCell ref="D26:H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</cols>
  <sheetData>
    <row r="1">
      <c r="A1" s="9" t="inlineStr">
        <is>
          <t>チェックリスト — 準備チェック（毎回の通話前・Round 2）</t>
        </is>
      </c>
    </row>
    <row r="3">
      <c r="A3" s="10" t="inlineStr">
        <is>
          <t>チェック項目</t>
        </is>
      </c>
      <c r="B3" s="10" t="inlineStr">
        <is>
          <t>Day2</t>
        </is>
      </c>
      <c r="C3" s="10" t="inlineStr">
        <is>
          <t>Day3</t>
        </is>
      </c>
      <c r="D3" s="10" t="inlineStr">
        <is>
          <t>Day4</t>
        </is>
      </c>
    </row>
    <row r="4">
      <c r="A4" s="4" t="inlineStr">
        <is>
          <t>3名がZoomに接続した</t>
        </is>
      </c>
      <c r="B4" s="11" t="n"/>
      <c r="C4" s="11" t="n"/>
      <c r="D4" s="11" t="n"/>
    </row>
    <row r="5">
      <c r="A5" s="4" t="inlineStr">
        <is>
          <t>家族役: Googleでサインインできた</t>
        </is>
      </c>
      <c r="B5" s="11" t="n"/>
      <c r="C5" s="11" t="n"/>
      <c r="D5" s="11" t="n"/>
    </row>
    <row r="6">
      <c r="A6" s="4" t="inlineStr">
        <is>
          <t>家族役: 「📊ログ」ボタンが見える</t>
        </is>
      </c>
      <c r="B6" s="11" t="n"/>
      <c r="C6" s="11" t="n"/>
      <c r="D6" s="11" t="n"/>
    </row>
    <row r="7">
      <c r="A7" s="4" t="inlineStr">
        <is>
          <t>家族役: 「シナリオ打刻」が見える</t>
        </is>
      </c>
      <c r="B7" s="11" t="n"/>
      <c r="C7" s="11" t="n"/>
      <c r="D7" s="11" t="n"/>
    </row>
    <row r="8">
      <c r="A8" s="4" t="inlineStr">
        <is>
          <t>家族役: 画面録画を開始した</t>
        </is>
      </c>
      <c r="B8" s="11" t="n"/>
      <c r="C8" s="11" t="n"/>
      <c r="D8" s="11" t="n"/>
    </row>
    <row r="9">
      <c r="A9" s="4" t="inlineStr">
        <is>
          <t>高齢者役: 顔が画面に映っている（距離50cmくらい）</t>
        </is>
      </c>
      <c r="B9" s="11" t="n"/>
      <c r="C9" s="11" t="n"/>
      <c r="D9" s="11" t="n"/>
    </row>
    <row r="10">
      <c r="A10" s="4" t="inlineStr">
        <is>
          <t>高齢者役: 機器側ノイズゲートをすべてOFFにした（設計書3章）</t>
        </is>
      </c>
      <c r="B10" s="11" t="n"/>
      <c r="C10" s="11" t="n"/>
      <c r="D10" s="11" t="n"/>
    </row>
    <row r="11">
      <c r="A11" s="4" t="inlineStr">
        <is>
          <t>高齢者役: 部屋が静か（テレビ消灯）</t>
        </is>
      </c>
      <c r="B11" s="11" t="n"/>
      <c r="C11" s="11" t="n"/>
      <c r="D11" s="11" t="n"/>
    </row>
    <row r="13">
      <c r="A13" s="12" t="inlineStr">
        <is>
          <t>※ 空欄=未確認。プルダウンから「✓」を選んでください。</t>
        </is>
      </c>
    </row>
  </sheetData>
  <mergeCells count="1">
    <mergeCell ref="A1:D1"/>
  </mergeCells>
  <dataValidations count="1">
    <dataValidation sqref="B4:D11" showErrorMessage="1" showInputMessage="1" allowBlank="1" type="list">
      <formula1>"✓"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9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7.29" customWidth="1" min="3" max="3"/>
    <col width="30" customWidth="1" min="4" max="4"/>
    <col width="16.43" customWidth="1" min="5" max="5"/>
    <col width="12" customWidth="1" min="6" max="6"/>
    <col width="14" customWidth="1" min="7" max="7"/>
    <col width="12.71" customWidth="1" min="8" max="8"/>
    <col width="36.43" customWidth="1" min="9" max="9"/>
  </cols>
  <sheetData>
    <row r="1">
      <c r="A1" s="9" t="inlineStr">
        <is>
          <t>チェックリスト — 実施記録（メイン・Round 2）</t>
        </is>
      </c>
    </row>
    <row r="3">
      <c r="A3" s="10" t="inlineStr">
        <is>
          <t>Day</t>
        </is>
      </c>
      <c r="B3" s="10" t="inlineStr">
        <is>
          <t>高齢者役×家族役</t>
        </is>
      </c>
      <c r="C3" s="10" t="inlineStr">
        <is>
          <t>番号</t>
        </is>
      </c>
      <c r="D3" s="10" t="inlineStr">
        <is>
          <t>場面</t>
        </is>
      </c>
      <c r="E3" s="10" t="inlineStr">
        <is>
          <t>正解</t>
        </is>
      </c>
      <c r="F3" s="10" t="inlineStr">
        <is>
          <t>実施日</t>
        </is>
      </c>
      <c r="G3" s="10" t="inlineStr">
        <is>
          <t>反応した回数</t>
        </is>
      </c>
      <c r="H3" s="10" t="inlineStr">
        <is>
          <t>期待どおり？</t>
        </is>
      </c>
      <c r="I3" s="10" t="inlineStr">
        <is>
          <t>メモ</t>
        </is>
      </c>
    </row>
    <row r="4">
      <c r="A4" s="13" t="inlineStr">
        <is>
          <t>例</t>
        </is>
      </c>
      <c r="B4" s="13" t="inlineStr">
        <is>
          <t>A×B</t>
        </is>
      </c>
      <c r="C4" s="13" t="inlineStr">
        <is>
          <t>A1</t>
        </is>
      </c>
      <c r="D4" s="14" t="inlineStr">
        <is>
          <t>静かにする</t>
        </is>
      </c>
      <c r="E4" s="15" t="inlineStr">
        <is>
          <t>反応しない</t>
        </is>
      </c>
      <c r="F4" s="13" t="inlineStr">
        <is>
          <t>7/15</t>
        </is>
      </c>
      <c r="G4" s="16" t="n">
        <v>0</v>
      </c>
      <c r="H4" s="13" t="inlineStr">
        <is>
          <t>◯</t>
        </is>
      </c>
      <c r="I4" s="17" t="inlineStr">
        <is>
          <t>（記入例）問題なし</t>
        </is>
      </c>
    </row>
    <row r="5">
      <c r="A5" s="18" t="n">
        <v>2</v>
      </c>
      <c r="B5" s="18" t="inlineStr">
        <is>
          <t>A×B</t>
        </is>
      </c>
      <c r="C5" s="18" t="inlineStr">
        <is>
          <t>A1</t>
        </is>
      </c>
      <c r="D5" s="19" t="inlineStr">
        <is>
          <t>静かにする</t>
        </is>
      </c>
      <c r="E5" s="20" t="inlineStr">
        <is>
          <t>反応しない</t>
        </is>
      </c>
      <c r="F5" s="21" t="n"/>
      <c r="G5" s="20" t="n"/>
      <c r="H5" s="18" t="n"/>
      <c r="I5" s="22" t="n"/>
    </row>
    <row r="6">
      <c r="A6" s="18" t="n">
        <v>2</v>
      </c>
      <c r="B6" s="18" t="inlineStr">
        <is>
          <t>A×B</t>
        </is>
      </c>
      <c r="C6" s="18" t="inlineStr">
        <is>
          <t>A2</t>
        </is>
      </c>
      <c r="D6" s="19" t="inlineStr">
        <is>
          <t>ふつうの雑談（2分）</t>
        </is>
      </c>
      <c r="E6" s="20" t="inlineStr">
        <is>
          <t>反応しない</t>
        </is>
      </c>
      <c r="F6" s="21" t="n"/>
      <c r="G6" s="20" t="n"/>
      <c r="H6" s="18" t="n"/>
      <c r="I6" s="22" t="n"/>
    </row>
    <row r="7">
      <c r="A7" s="18" t="n">
        <v>2</v>
      </c>
      <c r="B7" s="18" t="inlineStr">
        <is>
          <t>A×B</t>
        </is>
      </c>
      <c r="C7" s="18" t="inlineStr">
        <is>
          <t>A3</t>
        </is>
      </c>
      <c r="D7" s="19" t="inlineStr">
        <is>
          <t>本を読む</t>
        </is>
      </c>
      <c r="E7" s="20" t="inlineStr">
        <is>
          <t>反応しない</t>
        </is>
      </c>
      <c r="F7" s="21" t="n"/>
      <c r="G7" s="20" t="n"/>
      <c r="H7" s="18" t="n"/>
      <c r="I7" s="22" t="n"/>
    </row>
    <row r="8">
      <c r="A8" s="18" t="n">
        <v>2</v>
      </c>
      <c r="B8" s="18" t="inlineStr">
        <is>
          <t>A×B</t>
        </is>
      </c>
      <c r="C8" s="18" t="inlineStr">
        <is>
          <t>A4</t>
        </is>
      </c>
      <c r="D8" s="19" t="inlineStr">
        <is>
          <t>生活音を出す</t>
        </is>
      </c>
      <c r="E8" s="20" t="inlineStr">
        <is>
          <t>反応しない</t>
        </is>
      </c>
      <c r="F8" s="21" t="n"/>
      <c r="G8" s="20" t="n"/>
      <c r="H8" s="18" t="n"/>
      <c r="I8" s="22" t="n"/>
    </row>
    <row r="9">
      <c r="A9" s="18" t="n">
        <v>2</v>
      </c>
      <c r="B9" s="18" t="inlineStr">
        <is>
          <t>A×B</t>
        </is>
      </c>
      <c r="C9" s="18" t="inlineStr">
        <is>
          <t>A5</t>
        </is>
      </c>
      <c r="D9" s="19" t="inlineStr">
        <is>
          <t>最初のあいさつ（かけ直し・打刻し直し）</t>
        </is>
      </c>
      <c r="E9" s="20" t="inlineStr">
        <is>
          <t>反応しない</t>
        </is>
      </c>
      <c r="F9" s="21" t="n"/>
      <c r="G9" s="20" t="n"/>
      <c r="H9" s="18" t="n"/>
      <c r="I9" s="22" t="n"/>
    </row>
    <row r="10">
      <c r="A10" s="18" t="n">
        <v>2</v>
      </c>
      <c r="B10" s="18" t="inlineStr">
        <is>
          <t>A×B</t>
        </is>
      </c>
      <c r="C10" s="18" t="inlineStr">
        <is>
          <t>A6</t>
        </is>
      </c>
      <c r="D10" s="19" t="inlineStr">
        <is>
          <t>立って戻る</t>
        </is>
      </c>
      <c r="E10" s="20" t="inlineStr">
        <is>
          <t>反応しない</t>
        </is>
      </c>
      <c r="F10" s="21" t="n"/>
      <c r="G10" s="20" t="n"/>
      <c r="H10" s="18" t="n"/>
      <c r="I10" s="22" t="n"/>
    </row>
    <row r="11">
      <c r="A11" s="23" t="n">
        <v>2</v>
      </c>
      <c r="B11" s="23" t="inlineStr">
        <is>
          <t>A×B</t>
        </is>
      </c>
      <c r="C11" s="23" t="inlineStr">
        <is>
          <t>B1</t>
        </is>
      </c>
      <c r="D11" s="24" t="inlineStr">
        <is>
          <t>声を出して笑う（家族役: 真顔→一気に笑顔）</t>
        </is>
      </c>
      <c r="E11" s="25" t="inlineStr">
        <is>
          <t>反応する</t>
        </is>
      </c>
      <c r="F11" s="26" t="n"/>
      <c r="G11" s="25" t="n"/>
      <c r="H11" s="23" t="n"/>
      <c r="I11" s="27" t="n"/>
    </row>
    <row r="12">
      <c r="A12" s="23" t="n">
        <v>2</v>
      </c>
      <c r="B12" s="23" t="inlineStr">
        <is>
          <t>A×B</t>
        </is>
      </c>
      <c r="C12" s="23" t="inlineStr">
        <is>
          <t>B2</t>
        </is>
      </c>
      <c r="D12" s="24" t="inlineStr">
        <is>
          <t>驚く（同上・驚き顔）</t>
        </is>
      </c>
      <c r="E12" s="25" t="inlineStr">
        <is>
          <t>反応する</t>
        </is>
      </c>
      <c r="F12" s="26" t="n"/>
      <c r="G12" s="25" t="n"/>
      <c r="H12" s="23" t="n"/>
      <c r="I12" s="27" t="n"/>
    </row>
    <row r="13">
      <c r="A13" s="23" t="n">
        <v>2</v>
      </c>
      <c r="B13" s="23" t="inlineStr">
        <is>
          <t>A×B</t>
        </is>
      </c>
      <c r="C13" s="23" t="inlineStr">
        <is>
          <t>B3</t>
        </is>
      </c>
      <c r="D13" s="24" t="inlineStr">
        <is>
          <t>怒る（同上・怒り顔）</t>
        </is>
      </c>
      <c r="E13" s="25" t="inlineStr">
        <is>
          <t>反応する</t>
        </is>
      </c>
      <c r="F13" s="26" t="n"/>
      <c r="G13" s="25" t="n"/>
      <c r="H13" s="23" t="n"/>
      <c r="I13" s="27" t="n"/>
    </row>
    <row r="14">
      <c r="A14" s="23" t="n">
        <v>2</v>
      </c>
      <c r="B14" s="23" t="inlineStr">
        <is>
          <t>A×B</t>
        </is>
      </c>
      <c r="C14" s="23" t="inlineStr">
        <is>
          <t>B4</t>
        </is>
      </c>
      <c r="D14" s="24" t="inlineStr">
        <is>
          <t>静かに笑う＝声量そのまま（家族役の表情が頼り）</t>
        </is>
      </c>
      <c r="E14" s="25" t="inlineStr">
        <is>
          <t>反応する</t>
        </is>
      </c>
      <c r="F14" s="26" t="n"/>
      <c r="G14" s="25" t="n"/>
      <c r="H14" s="23" t="n"/>
      <c r="I14" s="27" t="n"/>
    </row>
    <row r="15">
      <c r="A15" s="23" t="n">
        <v>2</v>
      </c>
      <c r="B15" s="23" t="inlineStr">
        <is>
          <t>A×B</t>
        </is>
      </c>
      <c r="C15" s="23" t="inlineStr">
        <is>
          <t>B5</t>
        </is>
      </c>
      <c r="D15" s="24" t="inlineStr">
        <is>
          <t>ほめ言葉（ふだんの声）</t>
        </is>
      </c>
      <c r="E15" s="25" t="inlineStr">
        <is>
          <t>反応する</t>
        </is>
      </c>
      <c r="F15" s="26" t="n"/>
      <c r="G15" s="25" t="n"/>
      <c r="H15" s="23" t="n"/>
      <c r="I15" s="27" t="n"/>
    </row>
    <row r="16">
      <c r="A16" s="23" t="n">
        <v>2</v>
      </c>
      <c r="B16" s="23" t="inlineStr">
        <is>
          <t>A×B</t>
        </is>
      </c>
      <c r="C16" s="23" t="inlineStr">
        <is>
          <t>B6</t>
        </is>
      </c>
      <c r="D16" s="24" t="inlineStr">
        <is>
          <t>感極まる</t>
        </is>
      </c>
      <c r="E16" s="25" t="inlineStr">
        <is>
          <t>反応する</t>
        </is>
      </c>
      <c r="F16" s="26" t="n"/>
      <c r="G16" s="25" t="n"/>
      <c r="H16" s="23" t="n"/>
      <c r="I16" s="27" t="n"/>
    </row>
    <row r="17">
      <c r="A17" s="28" t="n">
        <v>2</v>
      </c>
      <c r="B17" s="28" t="inlineStr">
        <is>
          <t>A×B</t>
        </is>
      </c>
      <c r="C17" s="28" t="inlineStr">
        <is>
          <t>C1</t>
        </is>
      </c>
      <c r="D17" s="29" t="inlineStr">
        <is>
          <t>咳・くしゃみ・あくび</t>
        </is>
      </c>
      <c r="E17" s="30" t="inlineStr">
        <is>
          <t>反応しない</t>
        </is>
      </c>
      <c r="F17" s="31" t="n"/>
      <c r="G17" s="32" t="n"/>
      <c r="H17" s="28" t="n"/>
      <c r="I17" s="33" t="n"/>
    </row>
    <row r="18">
      <c r="A18" s="28" t="n">
        <v>2</v>
      </c>
      <c r="B18" s="28" t="inlineStr">
        <is>
          <t>A×B</t>
        </is>
      </c>
      <c r="C18" s="28" t="inlineStr">
        <is>
          <t>C2</t>
        </is>
      </c>
      <c r="D18" s="29" t="inlineStr">
        <is>
          <t>笑い続ける30秒</t>
        </is>
      </c>
      <c r="E18" s="32" t="inlineStr">
        <is>
          <t>2回以上反応が正解</t>
        </is>
      </c>
      <c r="F18" s="31" t="n"/>
      <c r="G18" s="32" t="n"/>
      <c r="H18" s="28" t="n"/>
      <c r="I18" s="33" t="n"/>
    </row>
    <row r="19">
      <c r="A19" s="28" t="n">
        <v>2</v>
      </c>
      <c r="B19" s="28" t="inlineStr">
        <is>
          <t>A×B</t>
        </is>
      </c>
      <c r="C19" s="28" t="inlineStr">
        <is>
          <t>C3</t>
        </is>
      </c>
      <c r="D19" s="29" t="inlineStr">
        <is>
          <t>家族役が大声</t>
        </is>
      </c>
      <c r="E19" s="30" t="inlineStr">
        <is>
          <t>反応する</t>
        </is>
      </c>
      <c r="F19" s="31" t="n"/>
      <c r="G19" s="32" t="n"/>
      <c r="H19" s="28" t="n"/>
      <c r="I19" s="33" t="n"/>
    </row>
    <row r="20">
      <c r="A20" s="18" t="n">
        <v>3</v>
      </c>
      <c r="B20" s="18" t="inlineStr">
        <is>
          <t>B×C</t>
        </is>
      </c>
      <c r="C20" s="18" t="inlineStr">
        <is>
          <t>A1</t>
        </is>
      </c>
      <c r="D20" s="19" t="inlineStr">
        <is>
          <t>静かにする</t>
        </is>
      </c>
      <c r="E20" s="20" t="inlineStr">
        <is>
          <t>反応しない</t>
        </is>
      </c>
      <c r="F20" s="21" t="n"/>
      <c r="G20" s="20" t="n"/>
      <c r="H20" s="18" t="n"/>
      <c r="I20" s="22" t="n"/>
    </row>
    <row r="21">
      <c r="A21" s="18" t="n">
        <v>3</v>
      </c>
      <c r="B21" s="18" t="inlineStr">
        <is>
          <t>B×C</t>
        </is>
      </c>
      <c r="C21" s="18" t="inlineStr">
        <is>
          <t>A2</t>
        </is>
      </c>
      <c r="D21" s="19" t="inlineStr">
        <is>
          <t>ふつうの雑談（2分）</t>
        </is>
      </c>
      <c r="E21" s="20" t="inlineStr">
        <is>
          <t>反応しない</t>
        </is>
      </c>
      <c r="F21" s="21" t="n"/>
      <c r="G21" s="20" t="n"/>
      <c r="H21" s="18" t="n"/>
      <c r="I21" s="22" t="n"/>
    </row>
    <row r="22">
      <c r="A22" s="18" t="n">
        <v>3</v>
      </c>
      <c r="B22" s="18" t="inlineStr">
        <is>
          <t>B×C</t>
        </is>
      </c>
      <c r="C22" s="18" t="inlineStr">
        <is>
          <t>A3</t>
        </is>
      </c>
      <c r="D22" s="19" t="inlineStr">
        <is>
          <t>本を読む</t>
        </is>
      </c>
      <c r="E22" s="20" t="inlineStr">
        <is>
          <t>反応しない</t>
        </is>
      </c>
      <c r="F22" s="21" t="n"/>
      <c r="G22" s="20" t="n"/>
      <c r="H22" s="18" t="n"/>
      <c r="I22" s="22" t="n"/>
    </row>
    <row r="23">
      <c r="A23" s="18" t="n">
        <v>3</v>
      </c>
      <c r="B23" s="18" t="inlineStr">
        <is>
          <t>B×C</t>
        </is>
      </c>
      <c r="C23" s="18" t="inlineStr">
        <is>
          <t>A4</t>
        </is>
      </c>
      <c r="D23" s="19" t="inlineStr">
        <is>
          <t>生活音を出す</t>
        </is>
      </c>
      <c r="E23" s="20" t="inlineStr">
        <is>
          <t>反応しない</t>
        </is>
      </c>
      <c r="F23" s="21" t="n"/>
      <c r="G23" s="20" t="n"/>
      <c r="H23" s="18" t="n"/>
      <c r="I23" s="22" t="n"/>
    </row>
    <row r="24">
      <c r="A24" s="18" t="n">
        <v>3</v>
      </c>
      <c r="B24" s="18" t="inlineStr">
        <is>
          <t>B×C</t>
        </is>
      </c>
      <c r="C24" s="18" t="inlineStr">
        <is>
          <t>A5</t>
        </is>
      </c>
      <c r="D24" s="19" t="inlineStr">
        <is>
          <t>最初のあいさつ（かけ直し・打刻し直し）</t>
        </is>
      </c>
      <c r="E24" s="20" t="inlineStr">
        <is>
          <t>反応しない</t>
        </is>
      </c>
      <c r="F24" s="21" t="n"/>
      <c r="G24" s="20" t="n"/>
      <c r="H24" s="18" t="n"/>
      <c r="I24" s="22" t="n"/>
    </row>
    <row r="25">
      <c r="A25" s="18" t="n">
        <v>3</v>
      </c>
      <c r="B25" s="18" t="inlineStr">
        <is>
          <t>B×C</t>
        </is>
      </c>
      <c r="C25" s="18" t="inlineStr">
        <is>
          <t>A6</t>
        </is>
      </c>
      <c r="D25" s="19" t="inlineStr">
        <is>
          <t>立って戻る</t>
        </is>
      </c>
      <c r="E25" s="20" t="inlineStr">
        <is>
          <t>反応しない</t>
        </is>
      </c>
      <c r="F25" s="21" t="n"/>
      <c r="G25" s="20" t="n"/>
      <c r="H25" s="18" t="n"/>
      <c r="I25" s="22" t="n"/>
    </row>
    <row r="26">
      <c r="A26" s="23" t="n">
        <v>3</v>
      </c>
      <c r="B26" s="23" t="inlineStr">
        <is>
          <t>B×C</t>
        </is>
      </c>
      <c r="C26" s="23" t="inlineStr">
        <is>
          <t>B1</t>
        </is>
      </c>
      <c r="D26" s="24" t="inlineStr">
        <is>
          <t>声を出して笑う（家族役: 真顔→一気に笑顔）</t>
        </is>
      </c>
      <c r="E26" s="25" t="inlineStr">
        <is>
          <t>反応する</t>
        </is>
      </c>
      <c r="F26" s="26" t="n"/>
      <c r="G26" s="25" t="n"/>
      <c r="H26" s="23" t="n"/>
      <c r="I26" s="27" t="n"/>
    </row>
    <row r="27">
      <c r="A27" s="23" t="n">
        <v>3</v>
      </c>
      <c r="B27" s="23" t="inlineStr">
        <is>
          <t>B×C</t>
        </is>
      </c>
      <c r="C27" s="23" t="inlineStr">
        <is>
          <t>B2</t>
        </is>
      </c>
      <c r="D27" s="24" t="inlineStr">
        <is>
          <t>驚く（同上・驚き顔）</t>
        </is>
      </c>
      <c r="E27" s="25" t="inlineStr">
        <is>
          <t>反応する</t>
        </is>
      </c>
      <c r="F27" s="26" t="n"/>
      <c r="G27" s="25" t="n"/>
      <c r="H27" s="23" t="n"/>
      <c r="I27" s="27" t="n"/>
    </row>
    <row r="28">
      <c r="A28" s="23" t="n">
        <v>3</v>
      </c>
      <c r="B28" s="23" t="inlineStr">
        <is>
          <t>B×C</t>
        </is>
      </c>
      <c r="C28" s="23" t="inlineStr">
        <is>
          <t>B3</t>
        </is>
      </c>
      <c r="D28" s="24" t="inlineStr">
        <is>
          <t>怒る（同上・怒り顔）</t>
        </is>
      </c>
      <c r="E28" s="25" t="inlineStr">
        <is>
          <t>反応する</t>
        </is>
      </c>
      <c r="F28" s="26" t="n"/>
      <c r="G28" s="25" t="n"/>
      <c r="H28" s="23" t="n"/>
      <c r="I28" s="27" t="n"/>
    </row>
    <row r="29">
      <c r="A29" s="23" t="n">
        <v>3</v>
      </c>
      <c r="B29" s="23" t="inlineStr">
        <is>
          <t>B×C</t>
        </is>
      </c>
      <c r="C29" s="23" t="inlineStr">
        <is>
          <t>B4</t>
        </is>
      </c>
      <c r="D29" s="24" t="inlineStr">
        <is>
          <t>静かに笑う＝声量そのまま（家族役の表情が頼り）</t>
        </is>
      </c>
      <c r="E29" s="25" t="inlineStr">
        <is>
          <t>反応する</t>
        </is>
      </c>
      <c r="F29" s="26" t="n"/>
      <c r="G29" s="25" t="n"/>
      <c r="H29" s="23" t="n"/>
      <c r="I29" s="27" t="n"/>
    </row>
    <row r="30">
      <c r="A30" s="23" t="n">
        <v>3</v>
      </c>
      <c r="B30" s="23" t="inlineStr">
        <is>
          <t>B×C</t>
        </is>
      </c>
      <c r="C30" s="23" t="inlineStr">
        <is>
          <t>B5</t>
        </is>
      </c>
      <c r="D30" s="24" t="inlineStr">
        <is>
          <t>ほめ言葉（ふだんの声）</t>
        </is>
      </c>
      <c r="E30" s="25" t="inlineStr">
        <is>
          <t>反応する</t>
        </is>
      </c>
      <c r="F30" s="26" t="n"/>
      <c r="G30" s="25" t="n"/>
      <c r="H30" s="23" t="n"/>
      <c r="I30" s="27" t="n"/>
    </row>
    <row r="31">
      <c r="A31" s="23" t="n">
        <v>3</v>
      </c>
      <c r="B31" s="23" t="inlineStr">
        <is>
          <t>B×C</t>
        </is>
      </c>
      <c r="C31" s="23" t="inlineStr">
        <is>
          <t>B6</t>
        </is>
      </c>
      <c r="D31" s="24" t="inlineStr">
        <is>
          <t>感極まる</t>
        </is>
      </c>
      <c r="E31" s="25" t="inlineStr">
        <is>
          <t>反応する</t>
        </is>
      </c>
      <c r="F31" s="26" t="n"/>
      <c r="G31" s="25" t="n"/>
      <c r="H31" s="23" t="n"/>
      <c r="I31" s="27" t="n"/>
    </row>
    <row r="32">
      <c r="A32" s="28" t="n">
        <v>3</v>
      </c>
      <c r="B32" s="28" t="inlineStr">
        <is>
          <t>B×C</t>
        </is>
      </c>
      <c r="C32" s="28" t="inlineStr">
        <is>
          <t>C1</t>
        </is>
      </c>
      <c r="D32" s="29" t="inlineStr">
        <is>
          <t>咳・くしゃみ・あくび</t>
        </is>
      </c>
      <c r="E32" s="30" t="inlineStr">
        <is>
          <t>反応しない</t>
        </is>
      </c>
      <c r="F32" s="31" t="n"/>
      <c r="G32" s="32" t="n"/>
      <c r="H32" s="28" t="n"/>
      <c r="I32" s="33" t="n"/>
    </row>
    <row r="33">
      <c r="A33" s="28" t="n">
        <v>3</v>
      </c>
      <c r="B33" s="28" t="inlineStr">
        <is>
          <t>B×C</t>
        </is>
      </c>
      <c r="C33" s="28" t="inlineStr">
        <is>
          <t>C2</t>
        </is>
      </c>
      <c r="D33" s="29" t="inlineStr">
        <is>
          <t>笑い続ける30秒</t>
        </is>
      </c>
      <c r="E33" s="32" t="inlineStr">
        <is>
          <t>2回以上反応が正解</t>
        </is>
      </c>
      <c r="F33" s="31" t="n"/>
      <c r="G33" s="32" t="n"/>
      <c r="H33" s="28" t="n"/>
      <c r="I33" s="33" t="n"/>
    </row>
    <row r="34">
      <c r="A34" s="28" t="n">
        <v>3</v>
      </c>
      <c r="B34" s="28" t="inlineStr">
        <is>
          <t>B×C</t>
        </is>
      </c>
      <c r="C34" s="28" t="inlineStr">
        <is>
          <t>C3</t>
        </is>
      </c>
      <c r="D34" s="29" t="inlineStr">
        <is>
          <t>家族役が大声</t>
        </is>
      </c>
      <c r="E34" s="30" t="inlineStr">
        <is>
          <t>反応する</t>
        </is>
      </c>
      <c r="F34" s="31" t="n"/>
      <c r="G34" s="32" t="n"/>
      <c r="H34" s="28" t="n"/>
      <c r="I34" s="33" t="n"/>
    </row>
    <row r="35">
      <c r="A35" s="18" t="n">
        <v>4</v>
      </c>
      <c r="B35" s="18" t="inlineStr">
        <is>
          <t>C×A</t>
        </is>
      </c>
      <c r="C35" s="18" t="inlineStr">
        <is>
          <t>A1</t>
        </is>
      </c>
      <c r="D35" s="19" t="inlineStr">
        <is>
          <t>静かにする</t>
        </is>
      </c>
      <c r="E35" s="20" t="inlineStr">
        <is>
          <t>反応しない</t>
        </is>
      </c>
      <c r="F35" s="21" t="n"/>
      <c r="G35" s="20" t="n"/>
      <c r="H35" s="18" t="n"/>
      <c r="I35" s="22" t="n"/>
    </row>
    <row r="36">
      <c r="A36" s="18" t="n">
        <v>4</v>
      </c>
      <c r="B36" s="18" t="inlineStr">
        <is>
          <t>C×A</t>
        </is>
      </c>
      <c r="C36" s="18" t="inlineStr">
        <is>
          <t>A2</t>
        </is>
      </c>
      <c r="D36" s="19" t="inlineStr">
        <is>
          <t>ふつうの雑談（2分）</t>
        </is>
      </c>
      <c r="E36" s="20" t="inlineStr">
        <is>
          <t>反応しない</t>
        </is>
      </c>
      <c r="F36" s="21" t="n"/>
      <c r="G36" s="20" t="n"/>
      <c r="H36" s="18" t="n"/>
      <c r="I36" s="22" t="n"/>
    </row>
    <row r="37">
      <c r="A37" s="18" t="n">
        <v>4</v>
      </c>
      <c r="B37" s="18" t="inlineStr">
        <is>
          <t>C×A</t>
        </is>
      </c>
      <c r="C37" s="18" t="inlineStr">
        <is>
          <t>A3</t>
        </is>
      </c>
      <c r="D37" s="19" t="inlineStr">
        <is>
          <t>本を読む</t>
        </is>
      </c>
      <c r="E37" s="20" t="inlineStr">
        <is>
          <t>反応しない</t>
        </is>
      </c>
      <c r="F37" s="21" t="n"/>
      <c r="G37" s="20" t="n"/>
      <c r="H37" s="18" t="n"/>
      <c r="I37" s="22" t="n"/>
    </row>
    <row r="38">
      <c r="A38" s="18" t="n">
        <v>4</v>
      </c>
      <c r="B38" s="18" t="inlineStr">
        <is>
          <t>C×A</t>
        </is>
      </c>
      <c r="C38" s="18" t="inlineStr">
        <is>
          <t>A4</t>
        </is>
      </c>
      <c r="D38" s="19" t="inlineStr">
        <is>
          <t>生活音を出す</t>
        </is>
      </c>
      <c r="E38" s="20" t="inlineStr">
        <is>
          <t>反応しない</t>
        </is>
      </c>
      <c r="F38" s="21" t="n"/>
      <c r="G38" s="20" t="n"/>
      <c r="H38" s="18" t="n"/>
      <c r="I38" s="22" t="n"/>
    </row>
    <row r="39">
      <c r="A39" s="18" t="n">
        <v>4</v>
      </c>
      <c r="B39" s="18" t="inlineStr">
        <is>
          <t>C×A</t>
        </is>
      </c>
      <c r="C39" s="18" t="inlineStr">
        <is>
          <t>A5</t>
        </is>
      </c>
      <c r="D39" s="19" t="inlineStr">
        <is>
          <t>最初のあいさつ（かけ直し・打刻し直し）</t>
        </is>
      </c>
      <c r="E39" s="20" t="inlineStr">
        <is>
          <t>反応しない</t>
        </is>
      </c>
      <c r="F39" s="21" t="n"/>
      <c r="G39" s="20" t="n"/>
      <c r="H39" s="18" t="n"/>
      <c r="I39" s="22" t="n"/>
    </row>
    <row r="40">
      <c r="A40" s="18" t="n">
        <v>4</v>
      </c>
      <c r="B40" s="18" t="inlineStr">
        <is>
          <t>C×A</t>
        </is>
      </c>
      <c r="C40" s="18" t="inlineStr">
        <is>
          <t>A6</t>
        </is>
      </c>
      <c r="D40" s="19" t="inlineStr">
        <is>
          <t>立って戻る</t>
        </is>
      </c>
      <c r="E40" s="20" t="inlineStr">
        <is>
          <t>反応しない</t>
        </is>
      </c>
      <c r="F40" s="21" t="n"/>
      <c r="G40" s="20" t="n"/>
      <c r="H40" s="18" t="n"/>
      <c r="I40" s="22" t="n"/>
    </row>
    <row r="41">
      <c r="A41" s="23" t="n">
        <v>4</v>
      </c>
      <c r="B41" s="23" t="inlineStr">
        <is>
          <t>C×A</t>
        </is>
      </c>
      <c r="C41" s="23" t="inlineStr">
        <is>
          <t>B1</t>
        </is>
      </c>
      <c r="D41" s="24" t="inlineStr">
        <is>
          <t>声を出して笑う（家族役: 真顔→一気に笑顔）</t>
        </is>
      </c>
      <c r="E41" s="25" t="inlineStr">
        <is>
          <t>反応する</t>
        </is>
      </c>
      <c r="F41" s="26" t="n"/>
      <c r="G41" s="25" t="n"/>
      <c r="H41" s="23" t="n"/>
      <c r="I41" s="27" t="n"/>
    </row>
    <row r="42">
      <c r="A42" s="23" t="n">
        <v>4</v>
      </c>
      <c r="B42" s="23" t="inlineStr">
        <is>
          <t>C×A</t>
        </is>
      </c>
      <c r="C42" s="23" t="inlineStr">
        <is>
          <t>B2</t>
        </is>
      </c>
      <c r="D42" s="24" t="inlineStr">
        <is>
          <t>驚く（同上・驚き顔）</t>
        </is>
      </c>
      <c r="E42" s="25" t="inlineStr">
        <is>
          <t>反応する</t>
        </is>
      </c>
      <c r="F42" s="26" t="n"/>
      <c r="G42" s="25" t="n"/>
      <c r="H42" s="23" t="n"/>
      <c r="I42" s="27" t="n"/>
    </row>
    <row r="43">
      <c r="A43" s="23" t="n">
        <v>4</v>
      </c>
      <c r="B43" s="23" t="inlineStr">
        <is>
          <t>C×A</t>
        </is>
      </c>
      <c r="C43" s="23" t="inlineStr">
        <is>
          <t>B3</t>
        </is>
      </c>
      <c r="D43" s="24" t="inlineStr">
        <is>
          <t>怒る（同上・怒り顔）</t>
        </is>
      </c>
      <c r="E43" s="25" t="inlineStr">
        <is>
          <t>反応する</t>
        </is>
      </c>
      <c r="F43" s="26" t="n"/>
      <c r="G43" s="25" t="n"/>
      <c r="H43" s="23" t="n"/>
      <c r="I43" s="27" t="n"/>
    </row>
    <row r="44">
      <c r="A44" s="23" t="n">
        <v>4</v>
      </c>
      <c r="B44" s="23" t="inlineStr">
        <is>
          <t>C×A</t>
        </is>
      </c>
      <c r="C44" s="23" t="inlineStr">
        <is>
          <t>B4</t>
        </is>
      </c>
      <c r="D44" s="24" t="inlineStr">
        <is>
          <t>静かに笑う＝声量そのまま（家族役の表情が頼り）</t>
        </is>
      </c>
      <c r="E44" s="25" t="inlineStr">
        <is>
          <t>反応する</t>
        </is>
      </c>
      <c r="F44" s="26" t="n"/>
      <c r="G44" s="25" t="n"/>
      <c r="H44" s="23" t="n"/>
      <c r="I44" s="27" t="n"/>
    </row>
    <row r="45">
      <c r="A45" s="23" t="n">
        <v>4</v>
      </c>
      <c r="B45" s="23" t="inlineStr">
        <is>
          <t>C×A</t>
        </is>
      </c>
      <c r="C45" s="23" t="inlineStr">
        <is>
          <t>B5</t>
        </is>
      </c>
      <c r="D45" s="24" t="inlineStr">
        <is>
          <t>ほめ言葉（ふだんの声）</t>
        </is>
      </c>
      <c r="E45" s="25" t="inlineStr">
        <is>
          <t>反応する</t>
        </is>
      </c>
      <c r="F45" s="26" t="n"/>
      <c r="G45" s="25" t="n"/>
      <c r="H45" s="23" t="n"/>
      <c r="I45" s="27" t="n"/>
    </row>
    <row r="46">
      <c r="A46" s="23" t="n">
        <v>4</v>
      </c>
      <c r="B46" s="23" t="inlineStr">
        <is>
          <t>C×A</t>
        </is>
      </c>
      <c r="C46" s="23" t="inlineStr">
        <is>
          <t>B6</t>
        </is>
      </c>
      <c r="D46" s="24" t="inlineStr">
        <is>
          <t>感極まる</t>
        </is>
      </c>
      <c r="E46" s="25" t="inlineStr">
        <is>
          <t>反応する</t>
        </is>
      </c>
      <c r="F46" s="26" t="n"/>
      <c r="G46" s="25" t="n"/>
      <c r="H46" s="23" t="n"/>
      <c r="I46" s="27" t="n"/>
    </row>
    <row r="47">
      <c r="A47" s="28" t="n">
        <v>4</v>
      </c>
      <c r="B47" s="28" t="inlineStr">
        <is>
          <t>C×A</t>
        </is>
      </c>
      <c r="C47" s="28" t="inlineStr">
        <is>
          <t>C1</t>
        </is>
      </c>
      <c r="D47" s="29" t="inlineStr">
        <is>
          <t>咳・くしゃみ・あくび</t>
        </is>
      </c>
      <c r="E47" s="30" t="inlineStr">
        <is>
          <t>反応しない</t>
        </is>
      </c>
      <c r="F47" s="31" t="n"/>
      <c r="G47" s="32" t="n"/>
      <c r="H47" s="28" t="n"/>
      <c r="I47" s="33" t="n"/>
    </row>
    <row r="48">
      <c r="A48" s="28" t="n">
        <v>4</v>
      </c>
      <c r="B48" s="28" t="inlineStr">
        <is>
          <t>C×A</t>
        </is>
      </c>
      <c r="C48" s="28" t="inlineStr">
        <is>
          <t>C2</t>
        </is>
      </c>
      <c r="D48" s="29" t="inlineStr">
        <is>
          <t>笑い続ける30秒</t>
        </is>
      </c>
      <c r="E48" s="32" t="inlineStr">
        <is>
          <t>2回以上反応が正解</t>
        </is>
      </c>
      <c r="F48" s="31" t="n"/>
      <c r="G48" s="32" t="n"/>
      <c r="H48" s="28" t="n"/>
      <c r="I48" s="33" t="n"/>
    </row>
    <row r="49">
      <c r="A49" s="28" t="n">
        <v>4</v>
      </c>
      <c r="B49" s="28" t="inlineStr">
        <is>
          <t>C×A</t>
        </is>
      </c>
      <c r="C49" s="28" t="inlineStr">
        <is>
          <t>C3</t>
        </is>
      </c>
      <c r="D49" s="29" t="inlineStr">
        <is>
          <t>家族役が大声</t>
        </is>
      </c>
      <c r="E49" s="30" t="inlineStr">
        <is>
          <t>反応する</t>
        </is>
      </c>
      <c r="F49" s="31" t="n"/>
      <c r="G49" s="32" t="n"/>
      <c r="H49" s="28" t="n"/>
      <c r="I49" s="33" t="n"/>
    </row>
  </sheetData>
  <mergeCells count="1">
    <mergeCell ref="A1:I1"/>
  </mergeCells>
  <dataValidations count="2">
    <dataValidation sqref="H4:H49" showErrorMessage="1" showInputMessage="1" allowBlank="1" type="list">
      <formula1>"◯,×"</formula1>
    </dataValidation>
    <dataValidation sqref="G4:G49" showErrorMessage="1" showInputMessage="1" allowBlank="1" errorTitle="入力エラー" error="0以上の整数を入力してください。" type="whole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40" customWidth="1" min="4" max="4"/>
    <col width="16" customWidth="1" min="5" max="5"/>
    <col width="40" customWidth="1" min="6" max="6"/>
    <col width="16" customWidth="1" min="7" max="7"/>
  </cols>
  <sheetData>
    <row r="1">
      <c r="A1" s="9" t="inlineStr">
        <is>
          <t>チェックリスト — 回収ファイル一覧（Round 2）</t>
        </is>
      </c>
    </row>
    <row r="3">
      <c r="A3" s="34" t="inlineStr">
        <is>
          <t>Day</t>
        </is>
      </c>
      <c r="B3" s="34" t="inlineStr">
        <is>
          <t>高齢者役×家族役</t>
        </is>
      </c>
      <c r="C3" s="34" t="inlineStr">
        <is>
          <t>実施日</t>
        </is>
      </c>
      <c r="D3" s="34" t="inlineStr">
        <is>
          <t>記録ファイル名</t>
        </is>
      </c>
      <c r="E3" s="34" t="inlineStr">
        <is>
          <t>含まれる台本</t>
        </is>
      </c>
      <c r="F3" s="34" t="inlineStr">
        <is>
          <t>画面録画ファイル名</t>
        </is>
      </c>
      <c r="G3" s="34" t="inlineStr">
        <is>
          <t>開発チームへ送付</t>
        </is>
      </c>
    </row>
    <row r="4">
      <c r="A4" s="35" t="n">
        <v>2</v>
      </c>
      <c r="B4" s="35" t="inlineStr">
        <is>
          <t>A×B</t>
        </is>
      </c>
      <c r="C4" s="35" t="n"/>
      <c r="D4" s="36" t="n"/>
      <c r="E4" s="35" t="n"/>
      <c r="F4" s="36" t="n"/>
      <c r="G4" s="35" t="n"/>
    </row>
    <row r="5">
      <c r="A5" s="35" t="n">
        <v>3</v>
      </c>
      <c r="B5" s="35" t="inlineStr">
        <is>
          <t>B×C</t>
        </is>
      </c>
      <c r="C5" s="35" t="n"/>
      <c r="D5" s="36" t="n"/>
      <c r="E5" s="35" t="n"/>
      <c r="F5" s="36" t="n"/>
      <c r="G5" s="35" t="n"/>
    </row>
    <row r="6">
      <c r="A6" s="35" t="n">
        <v>4</v>
      </c>
      <c r="B6" s="35" t="inlineStr">
        <is>
          <t>C×A</t>
        </is>
      </c>
      <c r="C6" s="35" t="n"/>
      <c r="D6" s="36" t="n"/>
      <c r="E6" s="35" t="n"/>
      <c r="F6" s="36" t="n"/>
      <c r="G6" s="35" t="n"/>
    </row>
    <row r="7">
      <c r="A7" s="35" t="n"/>
      <c r="B7" s="35" t="n"/>
      <c r="C7" s="35" t="n"/>
      <c r="D7" s="36" t="n"/>
      <c r="E7" s="35" t="n"/>
      <c r="F7" s="36" t="n"/>
      <c r="G7" s="35" t="n"/>
    </row>
    <row r="8">
      <c r="A8" s="35" t="n"/>
      <c r="B8" s="35" t="n"/>
      <c r="C8" s="35" t="n"/>
      <c r="D8" s="36" t="n"/>
      <c r="E8" s="35" t="n"/>
      <c r="F8" s="36" t="n"/>
      <c r="G8" s="35" t="n"/>
    </row>
    <row r="9">
      <c r="A9" s="35" t="n"/>
      <c r="B9" s="35" t="n"/>
      <c r="C9" s="35" t="n"/>
      <c r="D9" s="36" t="n"/>
      <c r="E9" s="35" t="n"/>
      <c r="F9" s="36" t="n"/>
      <c r="G9" s="35" t="n"/>
    </row>
    <row r="11" ht="30" customHeight="1">
      <c r="A11" s="37" t="inlineStr">
        <is>
          <t>※ 記録ファイル名は measurement-log-… の形式で記入。「含まれる台本」は通話が分かれた場合「A1〜B3」のように記入し、1通話で全部含む場合は「全部」と記入してください。</t>
        </is>
      </c>
    </row>
  </sheetData>
  <mergeCells count="2">
    <mergeCell ref="A1:G1"/>
    <mergeCell ref="A11:G11"/>
  </mergeCells>
  <dataValidations count="1">
    <dataValidation sqref="G4:G9" showErrorMessage="1" showInputMessage="1" allowBlank="1" type="list">
      <formula1>"済,未"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8" customWidth="1" min="3" max="3"/>
    <col width="12" customWidth="1" min="4" max="4"/>
    <col width="15" customWidth="1" min="5" max="5"/>
    <col width="9" customWidth="1" min="6" max="6"/>
    <col width="9" customWidth="1" min="7" max="7"/>
  </cols>
  <sheetData>
    <row r="1">
      <c r="A1" s="9" t="inlineStr">
        <is>
          <t>チェックリスト — サマリー（自動集計・見るだけ・Round 2）</t>
        </is>
      </c>
    </row>
    <row r="3">
      <c r="A3" s="10" t="inlineStr">
        <is>
          <t>番号</t>
        </is>
      </c>
      <c r="B3" s="10" t="inlineStr">
        <is>
          <t>場面</t>
        </is>
      </c>
      <c r="C3" s="10" t="inlineStr">
        <is>
          <t>正解</t>
        </is>
      </c>
      <c r="D3" s="10" t="inlineStr">
        <is>
          <t>Round 2</t>
        </is>
      </c>
      <c r="E3" s="38" t="n"/>
      <c r="F3" s="38" t="n"/>
      <c r="G3" s="38" t="n"/>
    </row>
    <row r="4">
      <c r="D4" s="34" t="inlineStr">
        <is>
          <t>実施済み数</t>
        </is>
      </c>
      <c r="E4" s="34" t="inlineStr">
        <is>
          <t>反応回数の合計</t>
        </is>
      </c>
      <c r="F4" s="34" t="inlineStr">
        <is>
          <t>◯の数</t>
        </is>
      </c>
      <c r="G4" s="34" t="inlineStr">
        <is>
          <t>×の数</t>
        </is>
      </c>
    </row>
    <row r="5">
      <c r="A5" s="11" t="inlineStr">
        <is>
          <t>A1</t>
        </is>
      </c>
      <c r="B5" s="39" t="inlineStr">
        <is>
          <t>静かにする</t>
        </is>
      </c>
      <c r="C5" s="11" t="inlineStr">
        <is>
          <t>反応しない</t>
        </is>
      </c>
      <c r="D5" s="11">
        <f>COUNTIFS('③実施記録'!$A:$A,"&lt;&gt;例",'③実施記録'!$C:$C,"A1",'③実施記録'!$F:$F,"&lt;&gt;")</f>
        <v/>
      </c>
      <c r="E5" s="11">
        <f>SUMIFS('③実施記録'!$G:$G,'③実施記録'!$A:$A,"&lt;&gt;例",'③実施記録'!$C:$C,"A1")</f>
        <v/>
      </c>
      <c r="F5" s="11">
        <f>COUNTIFS('③実施記録'!$A:$A,"&lt;&gt;例",'③実施記録'!$C:$C,"A1",'③実施記録'!$H:$H,"◯")</f>
        <v/>
      </c>
      <c r="G5" s="11">
        <f>COUNTIFS('③実施記録'!$A:$A,"&lt;&gt;例",'③実施記録'!$C:$C,"A1",'③実施記録'!$H:$H,"×")</f>
        <v/>
      </c>
    </row>
    <row r="6">
      <c r="A6" s="11" t="inlineStr">
        <is>
          <t>A2</t>
        </is>
      </c>
      <c r="B6" s="39" t="inlineStr">
        <is>
          <t>ふつうの雑談（2分）</t>
        </is>
      </c>
      <c r="C6" s="11" t="inlineStr">
        <is>
          <t>反応しない</t>
        </is>
      </c>
      <c r="D6" s="11">
        <f>COUNTIFS('③実施記録'!$A:$A,"&lt;&gt;例",'③実施記録'!$C:$C,"A2",'③実施記録'!$F:$F,"&lt;&gt;")</f>
        <v/>
      </c>
      <c r="E6" s="11">
        <f>SUMIFS('③実施記録'!$G:$G,'③実施記録'!$A:$A,"&lt;&gt;例",'③実施記録'!$C:$C,"A2")</f>
        <v/>
      </c>
      <c r="F6" s="11">
        <f>COUNTIFS('③実施記録'!$A:$A,"&lt;&gt;例",'③実施記録'!$C:$C,"A2",'③実施記録'!$H:$H,"◯")</f>
        <v/>
      </c>
      <c r="G6" s="11">
        <f>COUNTIFS('③実施記録'!$A:$A,"&lt;&gt;例",'③実施記録'!$C:$C,"A2",'③実施記録'!$H:$H,"×")</f>
        <v/>
      </c>
    </row>
    <row r="7">
      <c r="A7" s="11" t="inlineStr">
        <is>
          <t>A3</t>
        </is>
      </c>
      <c r="B7" s="39" t="inlineStr">
        <is>
          <t>本を読む</t>
        </is>
      </c>
      <c r="C7" s="11" t="inlineStr">
        <is>
          <t>反応しない</t>
        </is>
      </c>
      <c r="D7" s="11">
        <f>COUNTIFS('③実施記録'!$A:$A,"&lt;&gt;例",'③実施記録'!$C:$C,"A3",'③実施記録'!$F:$F,"&lt;&gt;")</f>
        <v/>
      </c>
      <c r="E7" s="11">
        <f>SUMIFS('③実施記録'!$G:$G,'③実施記録'!$A:$A,"&lt;&gt;例",'③実施記録'!$C:$C,"A3")</f>
        <v/>
      </c>
      <c r="F7" s="11">
        <f>COUNTIFS('③実施記録'!$A:$A,"&lt;&gt;例",'③実施記録'!$C:$C,"A3",'③実施記録'!$H:$H,"◯")</f>
        <v/>
      </c>
      <c r="G7" s="11">
        <f>COUNTIFS('③実施記録'!$A:$A,"&lt;&gt;例",'③実施記録'!$C:$C,"A3",'③実施記録'!$H:$H,"×")</f>
        <v/>
      </c>
    </row>
    <row r="8">
      <c r="A8" s="11" t="inlineStr">
        <is>
          <t>A4</t>
        </is>
      </c>
      <c r="B8" s="39" t="inlineStr">
        <is>
          <t>生活音を出す</t>
        </is>
      </c>
      <c r="C8" s="11" t="inlineStr">
        <is>
          <t>反応しない</t>
        </is>
      </c>
      <c r="D8" s="11">
        <f>COUNTIFS('③実施記録'!$A:$A,"&lt;&gt;例",'③実施記録'!$C:$C,"A4",'③実施記録'!$F:$F,"&lt;&gt;")</f>
        <v/>
      </c>
      <c r="E8" s="11">
        <f>SUMIFS('③実施記録'!$G:$G,'③実施記録'!$A:$A,"&lt;&gt;例",'③実施記録'!$C:$C,"A4")</f>
        <v/>
      </c>
      <c r="F8" s="11">
        <f>COUNTIFS('③実施記録'!$A:$A,"&lt;&gt;例",'③実施記録'!$C:$C,"A4",'③実施記録'!$H:$H,"◯")</f>
        <v/>
      </c>
      <c r="G8" s="11">
        <f>COUNTIFS('③実施記録'!$A:$A,"&lt;&gt;例",'③実施記録'!$C:$C,"A4",'③実施記録'!$H:$H,"×")</f>
        <v/>
      </c>
    </row>
    <row r="9">
      <c r="A9" s="11" t="inlineStr">
        <is>
          <t>A5</t>
        </is>
      </c>
      <c r="B9" s="39" t="inlineStr">
        <is>
          <t>最初のあいさつ（かけ直し・打刻し直し）</t>
        </is>
      </c>
      <c r="C9" s="11" t="inlineStr">
        <is>
          <t>反応しない</t>
        </is>
      </c>
      <c r="D9" s="11">
        <f>COUNTIFS('③実施記録'!$A:$A,"&lt;&gt;例",'③実施記録'!$C:$C,"A5",'③実施記録'!$F:$F,"&lt;&gt;")</f>
        <v/>
      </c>
      <c r="E9" s="11">
        <f>SUMIFS('③実施記録'!$G:$G,'③実施記録'!$A:$A,"&lt;&gt;例",'③実施記録'!$C:$C,"A5")</f>
        <v/>
      </c>
      <c r="F9" s="11">
        <f>COUNTIFS('③実施記録'!$A:$A,"&lt;&gt;例",'③実施記録'!$C:$C,"A5",'③実施記録'!$H:$H,"◯")</f>
        <v/>
      </c>
      <c r="G9" s="11">
        <f>COUNTIFS('③実施記録'!$A:$A,"&lt;&gt;例",'③実施記録'!$C:$C,"A5",'③実施記録'!$H:$H,"×")</f>
        <v/>
      </c>
    </row>
    <row r="10">
      <c r="A10" s="11" t="inlineStr">
        <is>
          <t>A6</t>
        </is>
      </c>
      <c r="B10" s="39" t="inlineStr">
        <is>
          <t>立って戻る</t>
        </is>
      </c>
      <c r="C10" s="11" t="inlineStr">
        <is>
          <t>反応しない</t>
        </is>
      </c>
      <c r="D10" s="11">
        <f>COUNTIFS('③実施記録'!$A:$A,"&lt;&gt;例",'③実施記録'!$C:$C,"A6",'③実施記録'!$F:$F,"&lt;&gt;")</f>
        <v/>
      </c>
      <c r="E10" s="11">
        <f>SUMIFS('③実施記録'!$G:$G,'③実施記録'!$A:$A,"&lt;&gt;例",'③実施記録'!$C:$C,"A6")</f>
        <v/>
      </c>
      <c r="F10" s="11">
        <f>COUNTIFS('③実施記録'!$A:$A,"&lt;&gt;例",'③実施記録'!$C:$C,"A6",'③実施記録'!$H:$H,"◯")</f>
        <v/>
      </c>
      <c r="G10" s="11">
        <f>COUNTIFS('③実施記録'!$A:$A,"&lt;&gt;例",'③実施記録'!$C:$C,"A6",'③実施記録'!$H:$H,"×")</f>
        <v/>
      </c>
    </row>
    <row r="11">
      <c r="A11" s="11" t="inlineStr">
        <is>
          <t>B1</t>
        </is>
      </c>
      <c r="B11" s="39" t="inlineStr">
        <is>
          <t>声を出して笑う（家族役: 真顔→一気に笑顔）</t>
        </is>
      </c>
      <c r="C11" s="11" t="inlineStr">
        <is>
          <t>反応する</t>
        </is>
      </c>
      <c r="D11" s="11">
        <f>COUNTIFS('③実施記録'!$A:$A,"&lt;&gt;例",'③実施記録'!$C:$C,"B1",'③実施記録'!$F:$F,"&lt;&gt;")</f>
        <v/>
      </c>
      <c r="E11" s="11">
        <f>SUMIFS('③実施記録'!$G:$G,'③実施記録'!$A:$A,"&lt;&gt;例",'③実施記録'!$C:$C,"B1")</f>
        <v/>
      </c>
      <c r="F11" s="11">
        <f>COUNTIFS('③実施記録'!$A:$A,"&lt;&gt;例",'③実施記録'!$C:$C,"B1",'③実施記録'!$H:$H,"◯")</f>
        <v/>
      </c>
      <c r="G11" s="11">
        <f>COUNTIFS('③実施記録'!$A:$A,"&lt;&gt;例",'③実施記録'!$C:$C,"B1",'③実施記録'!$H:$H,"×")</f>
        <v/>
      </c>
    </row>
    <row r="12">
      <c r="A12" s="11" t="inlineStr">
        <is>
          <t>B2</t>
        </is>
      </c>
      <c r="B12" s="39" t="inlineStr">
        <is>
          <t>驚く（同上・驚き顔）</t>
        </is>
      </c>
      <c r="C12" s="11" t="inlineStr">
        <is>
          <t>反応する</t>
        </is>
      </c>
      <c r="D12" s="11">
        <f>COUNTIFS('③実施記録'!$A:$A,"&lt;&gt;例",'③実施記録'!$C:$C,"B2",'③実施記録'!$F:$F,"&lt;&gt;")</f>
        <v/>
      </c>
      <c r="E12" s="11">
        <f>SUMIFS('③実施記録'!$G:$G,'③実施記録'!$A:$A,"&lt;&gt;例",'③実施記録'!$C:$C,"B2")</f>
        <v/>
      </c>
      <c r="F12" s="11">
        <f>COUNTIFS('③実施記録'!$A:$A,"&lt;&gt;例",'③実施記録'!$C:$C,"B2",'③実施記録'!$H:$H,"◯")</f>
        <v/>
      </c>
      <c r="G12" s="11">
        <f>COUNTIFS('③実施記録'!$A:$A,"&lt;&gt;例",'③実施記録'!$C:$C,"B2",'③実施記録'!$H:$H,"×")</f>
        <v/>
      </c>
    </row>
    <row r="13">
      <c r="A13" s="11" t="inlineStr">
        <is>
          <t>B3</t>
        </is>
      </c>
      <c r="B13" s="39" t="inlineStr">
        <is>
          <t>怒る（同上・怒り顔）</t>
        </is>
      </c>
      <c r="C13" s="11" t="inlineStr">
        <is>
          <t>反応する</t>
        </is>
      </c>
      <c r="D13" s="11">
        <f>COUNTIFS('③実施記録'!$A:$A,"&lt;&gt;例",'③実施記録'!$C:$C,"B3",'③実施記録'!$F:$F,"&lt;&gt;")</f>
        <v/>
      </c>
      <c r="E13" s="11">
        <f>SUMIFS('③実施記録'!$G:$G,'③実施記録'!$A:$A,"&lt;&gt;例",'③実施記録'!$C:$C,"B3")</f>
        <v/>
      </c>
      <c r="F13" s="11">
        <f>COUNTIFS('③実施記録'!$A:$A,"&lt;&gt;例",'③実施記録'!$C:$C,"B3",'③実施記録'!$H:$H,"◯")</f>
        <v/>
      </c>
      <c r="G13" s="11">
        <f>COUNTIFS('③実施記録'!$A:$A,"&lt;&gt;例",'③実施記録'!$C:$C,"B3",'③実施記録'!$H:$H,"×")</f>
        <v/>
      </c>
    </row>
    <row r="14">
      <c r="A14" s="11" t="inlineStr">
        <is>
          <t>B4</t>
        </is>
      </c>
      <c r="B14" s="39" t="inlineStr">
        <is>
          <t>静かに笑う＝声量そのまま（家族役の表情が頼り）</t>
        </is>
      </c>
      <c r="C14" s="11" t="inlineStr">
        <is>
          <t>反応する</t>
        </is>
      </c>
      <c r="D14" s="11">
        <f>COUNTIFS('③実施記録'!$A:$A,"&lt;&gt;例",'③実施記録'!$C:$C,"B4",'③実施記録'!$F:$F,"&lt;&gt;")</f>
        <v/>
      </c>
      <c r="E14" s="11">
        <f>SUMIFS('③実施記録'!$G:$G,'③実施記録'!$A:$A,"&lt;&gt;例",'③実施記録'!$C:$C,"B4")</f>
        <v/>
      </c>
      <c r="F14" s="11">
        <f>COUNTIFS('③実施記録'!$A:$A,"&lt;&gt;例",'③実施記録'!$C:$C,"B4",'③実施記録'!$H:$H,"◯")</f>
        <v/>
      </c>
      <c r="G14" s="11">
        <f>COUNTIFS('③実施記録'!$A:$A,"&lt;&gt;例",'③実施記録'!$C:$C,"B4",'③実施記録'!$H:$H,"×")</f>
        <v/>
      </c>
    </row>
    <row r="15">
      <c r="A15" s="11" t="inlineStr">
        <is>
          <t>B5</t>
        </is>
      </c>
      <c r="B15" s="39" t="inlineStr">
        <is>
          <t>ほめ言葉（ふだんの声）</t>
        </is>
      </c>
      <c r="C15" s="11" t="inlineStr">
        <is>
          <t>反応する</t>
        </is>
      </c>
      <c r="D15" s="11">
        <f>COUNTIFS('③実施記録'!$A:$A,"&lt;&gt;例",'③実施記録'!$C:$C,"B5",'③実施記録'!$F:$F,"&lt;&gt;")</f>
        <v/>
      </c>
      <c r="E15" s="11">
        <f>SUMIFS('③実施記録'!$G:$G,'③実施記録'!$A:$A,"&lt;&gt;例",'③実施記録'!$C:$C,"B5")</f>
        <v/>
      </c>
      <c r="F15" s="11">
        <f>COUNTIFS('③実施記録'!$A:$A,"&lt;&gt;例",'③実施記録'!$C:$C,"B5",'③実施記録'!$H:$H,"◯")</f>
        <v/>
      </c>
      <c r="G15" s="11">
        <f>COUNTIFS('③実施記録'!$A:$A,"&lt;&gt;例",'③実施記録'!$C:$C,"B5",'③実施記録'!$H:$H,"×")</f>
        <v/>
      </c>
    </row>
    <row r="16">
      <c r="A16" s="11" t="inlineStr">
        <is>
          <t>B6</t>
        </is>
      </c>
      <c r="B16" s="39" t="inlineStr">
        <is>
          <t>感極まる</t>
        </is>
      </c>
      <c r="C16" s="11" t="inlineStr">
        <is>
          <t>反応する</t>
        </is>
      </c>
      <c r="D16" s="11">
        <f>COUNTIFS('③実施記録'!$A:$A,"&lt;&gt;例",'③実施記録'!$C:$C,"B6",'③実施記録'!$F:$F,"&lt;&gt;")</f>
        <v/>
      </c>
      <c r="E16" s="11">
        <f>SUMIFS('③実施記録'!$G:$G,'③実施記録'!$A:$A,"&lt;&gt;例",'③実施記録'!$C:$C,"B6")</f>
        <v/>
      </c>
      <c r="F16" s="11">
        <f>COUNTIFS('③実施記録'!$A:$A,"&lt;&gt;例",'③実施記録'!$C:$C,"B6",'③実施記録'!$H:$H,"◯")</f>
        <v/>
      </c>
      <c r="G16" s="11">
        <f>COUNTIFS('③実施記録'!$A:$A,"&lt;&gt;例",'③実施記録'!$C:$C,"B6",'③実施記録'!$H:$H,"×")</f>
        <v/>
      </c>
    </row>
    <row r="17">
      <c r="A17" s="11" t="inlineStr">
        <is>
          <t>C1</t>
        </is>
      </c>
      <c r="B17" s="39" t="inlineStr">
        <is>
          <t>咳・くしゃみ・あくび</t>
        </is>
      </c>
      <c r="C17" s="11" t="inlineStr">
        <is>
          <t>反応しない</t>
        </is>
      </c>
      <c r="D17" s="11">
        <f>COUNTIFS('③実施記録'!$A:$A,"&lt;&gt;例",'③実施記録'!$C:$C,"C1",'③実施記録'!$F:$F,"&lt;&gt;")</f>
        <v/>
      </c>
      <c r="E17" s="11">
        <f>SUMIFS('③実施記録'!$G:$G,'③実施記録'!$A:$A,"&lt;&gt;例",'③実施記録'!$C:$C,"C1")</f>
        <v/>
      </c>
      <c r="F17" s="11">
        <f>COUNTIFS('③実施記録'!$A:$A,"&lt;&gt;例",'③実施記録'!$C:$C,"C1",'③実施記録'!$H:$H,"◯")</f>
        <v/>
      </c>
      <c r="G17" s="11">
        <f>COUNTIFS('③実施記録'!$A:$A,"&lt;&gt;例",'③実施記録'!$C:$C,"C1",'③実施記録'!$H:$H,"×")</f>
        <v/>
      </c>
    </row>
    <row r="18">
      <c r="A18" s="11" t="inlineStr">
        <is>
          <t>C2</t>
        </is>
      </c>
      <c r="B18" s="39" t="inlineStr">
        <is>
          <t>笑い続ける30秒</t>
        </is>
      </c>
      <c r="C18" s="11" t="inlineStr">
        <is>
          <t>2回以上反応が正解</t>
        </is>
      </c>
      <c r="D18" s="11">
        <f>COUNTIFS('③実施記録'!$A:$A,"&lt;&gt;例",'③実施記録'!$C:$C,"C2",'③実施記録'!$F:$F,"&lt;&gt;")</f>
        <v/>
      </c>
      <c r="E18" s="11">
        <f>SUMIFS('③実施記録'!$G:$G,'③実施記録'!$A:$A,"&lt;&gt;例",'③実施記録'!$C:$C,"C2")</f>
        <v/>
      </c>
      <c r="F18" s="11">
        <f>COUNTIFS('③実施記録'!$A:$A,"&lt;&gt;例",'③実施記録'!$C:$C,"C2",'③実施記録'!$H:$H,"◯")</f>
        <v/>
      </c>
      <c r="G18" s="11">
        <f>COUNTIFS('③実施記録'!$A:$A,"&lt;&gt;例",'③実施記録'!$C:$C,"C2",'③実施記録'!$H:$H,"×")</f>
        <v/>
      </c>
    </row>
    <row r="19">
      <c r="A19" s="11" t="inlineStr">
        <is>
          <t>C3</t>
        </is>
      </c>
      <c r="B19" s="39" t="inlineStr">
        <is>
          <t>家族役が大声</t>
        </is>
      </c>
      <c r="C19" s="11" t="inlineStr">
        <is>
          <t>反応する</t>
        </is>
      </c>
      <c r="D19" s="11">
        <f>COUNTIFS('③実施記録'!$A:$A,"&lt;&gt;例",'③実施記録'!$C:$C,"C3",'③実施記録'!$F:$F,"&lt;&gt;")</f>
        <v/>
      </c>
      <c r="E19" s="11">
        <f>SUMIFS('③実施記録'!$G:$G,'③実施記録'!$A:$A,"&lt;&gt;例",'③実施記録'!$C:$C,"C3")</f>
        <v/>
      </c>
      <c r="F19" s="11">
        <f>COUNTIFS('③実施記録'!$A:$A,"&lt;&gt;例",'③実施記録'!$C:$C,"C3",'③実施記録'!$H:$H,"◯")</f>
        <v/>
      </c>
      <c r="G19" s="11">
        <f>COUNTIFS('③実施記録'!$A:$A,"&lt;&gt;例",'③実施記録'!$C:$C,"C3",'③実施記録'!$H:$H,"×")</f>
        <v/>
      </c>
    </row>
    <row r="21">
      <c r="A21" s="12" t="inlineStr">
        <is>
          <t>※ この表は自動計算です。手で書き換えないでください。</t>
        </is>
      </c>
    </row>
  </sheetData>
  <mergeCells count="6">
    <mergeCell ref="A1:G1"/>
    <mergeCell ref="A3:A4"/>
    <mergeCell ref="B3:B4"/>
    <mergeCell ref="C3:C4"/>
    <mergeCell ref="D3:G3"/>
    <mergeCell ref="A21:G2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2026-07-18T13:41:04Z</dcterms:created>
  <dcterms:modified xmlns:dcterms="http://purl.org/dc/terms/" xmlns:xsi="http://www.w3.org/2001/XMLSchema-instance" xsi:type="dcterms:W3CDTF">2026-07-18T13:41:04Z</dcterms:modified>
</cp:coreProperties>
</file>